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Historical Build &amp; Ratios" sheetId="3" state="visible" r:id="rId5"/>
    <sheet name="Peer Benchmark" sheetId="4" state="visible" r:id="rId6"/>
    <sheet name="Valuation &amp; Scenarios" sheetId="5" state="visible" r:id="rId7"/>
    <sheet name="Audit Log" sheetId="6" state="visible" r:id="rId8"/>
    <sheet name="Buffett Scorec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<sst xmlns="http://schemas.openxmlformats.org/spreadsheetml/2006/main" count="1617" uniqueCount="932">
  <si>
    <t xml:space="preserve">eToro Group Ltd (NASDAQ: ETOR): audit workbook</t>
  </si>
  <si>
    <t xml:space="preserve">Prepared 2026-09-29 by IG Finance (buy-side analysis). Companion to eToro_Competitive_Thesis_2026-09-29.docx. Confidential, for internal discussion.</t>
  </si>
  <si>
    <t xml:space="preserve">CONFLICT OF INTEREST: the requester works in IG Group Finance (IG Australia). IG Group is a direct competitor of eToro and is included in the peer set as a benchmark only. It is excluded from the growth-strategy matrix.</t>
  </si>
  <si>
    <t xml:space="preserve">Scope</t>
  </si>
  <si>
    <t xml:space="preserve">1. Inputs: every disclosed figure as a hard-coded blue input, with source URL, source type and period.</t>
  </si>
  <si>
    <t xml:space="preserve">2. Historical Build &amp; Ratios: quarterly Q1 2024 to Q2 2026 and annual 2023 to 2025 plus LTM, all formulas. Growth, CAGR, margins, take-rate, NC per funded account, and a stated-vs-recomputed cross-check block (MATCH/FLAG).</t>
  </si>
  <si>
    <t xml:space="preserve">3. Peer Benchmark: eToro vs the six confirmed peers (IG Group, Plus500, Webull, XTB, Trading 212, Swissquote). USD conversion, multiples and growth-adjusted multiples by formula. Also holds moat ratings (analyst inputs).</t>
  </si>
  <si>
    <t xml:space="preserve">4. Valuation &amp; Scenarios: eToro EV range (share-count x cash-credit cases), M&amp;A cross-checks (IG/Freetrade, J. Safra Sarasin/Saxo, eToro/TradeZero), and bull/base/bear.</t>
  </si>
  <si>
    <t xml:space="preserve">5. Audit Log: issues found in the source materials and in this build.</t>
  </si>
  <si>
    <t xml:space="preserve">6. Buffett Scorecard: eight tests with live links to the build. Framed as one investor's published framework, not a claim about what Buffett would conclude.</t>
  </si>
  <si>
    <t xml:space="preserve">Limitations, stated plainly</t>
  </si>
  <si>
    <t xml:space="preserve">a) The network egress proxy blocked WebFetch for every domain tried (investors.etoro.com, sec.gov, globenewswire, wikipedia and others). Every figure comes from web-search summaries of the cited URLs, not from the primary documents. Each input is graded accordingly. Re-verify against the 20-F and 6-K filings before external use.</t>
  </si>
  <si>
    <t xml:space="preserve">b) Disclosed history: quarterly eToro data runs Q1 2024 to Q2 2026 (10 quarters). Annual data covers 2023 to 2025. The 2023 net contribution ($639m) is low confidence: the press describes it as 'revenue (total fees)'. Pre-2023 figures are N/D.</t>
  </si>
  <si>
    <t xml:space="preserve">c) Some quarters are derived rather than disclosed, and each is labelled in the build: Q2 2024 NC (FY24 less other quarters) and Q4 2025 adj EBITDA and NI (FY25 less Q1 to Q3). Funded accounts for Q1 2024 are N/D.</t>
  </si>
  <si>
    <t xml:space="preserve">d) The eToro share count conflicts across sources: 70.04m (Feb 2026 cover), 82.85m (20-F, 31 Dec 2025), 79.53m (latest aggregator) and ~91m implied diluted. The base case uses 79.53m. The EV is shown as a range.</t>
  </si>
  <si>
    <t xml:space="preserve">e) The composition of eToro's $1.2bn cash, cash equivalents and short-term investments is N/D: how much is free corporate cash versus regulatory capital or working capital. The EV is therefore shown at 100%, 50% and 0% cash credit. eToro debt is assumed nil (N/D).</t>
  </si>
  <si>
    <t xml:space="preserve">f) Peer multiples use market capitalisation (equity value) unless corporate cash was sourced (Plus500 only). Peer figures are LTM where both halves were available, otherwise the latest full year, as labelled.</t>
  </si>
  <si>
    <t xml:space="preserve">g) Market-size (TAM) claims could not be independently corroborated. See Audit Log.</t>
  </si>
  <si>
    <t xml:space="preserve">Colour conventions: blue = hard-coded input; black = formula; green = cross-sheet link; yellow fill = key scenario assumption.</t>
  </si>
  <si>
    <t xml:space="preserve">Recalculated with LibreOffice headless. Zero formula errors required before release.</t>
  </si>
  <si>
    <t xml:space="preserve">Inputs: disclosed figures (blue). Source = URL summarised via WebSearch (WebFetch blocked). CO = company disclosure; PR = press; AGG = aggregator.</t>
  </si>
  <si>
    <t xml:space="preserve">ID</t>
  </si>
  <si>
    <t xml:space="preserve">Metric</t>
  </si>
  <si>
    <t xml:space="preserve">Value</t>
  </si>
  <si>
    <t xml:space="preserve">Unit</t>
  </si>
  <si>
    <t xml:space="preserve">Period</t>
  </si>
  <si>
    <t xml:space="preserve">Source URL</t>
  </si>
  <si>
    <t xml:space="preserve">Type</t>
  </si>
  <si>
    <t xml:space="preserve">Note</t>
  </si>
  <si>
    <t xml:space="preserve">eToro: quarterly (US$m unless stated)</t>
  </si>
  <si>
    <t xml:space="preserve">NC_Q1_24</t>
  </si>
  <si>
    <t xml:space="preserve">Net contribution Q1 2024</t>
  </si>
  <si>
    <t xml:space="preserve">$m</t>
  </si>
  <si>
    <t xml:space="preserve">Q1_24</t>
  </si>
  <si>
    <t xml:space="preserve">https://investors.etoro.com/news-releases/news-release-details/etoro-reports-first-quarter-2025-results</t>
  </si>
  <si>
    <t xml:space="preserve">CO</t>
  </si>
  <si>
    <t xml:space="preserve">NC_Q3_24</t>
  </si>
  <si>
    <t xml:space="preserve">Net contribution Q3 2024</t>
  </si>
  <si>
    <t xml:space="preserve">Q3_24</t>
  </si>
  <si>
    <t xml:space="preserve">https://www.nasdaq.com/press-release/etoro-reports-third-quarter-2025-results-2025-11-10</t>
  </si>
  <si>
    <t xml:space="preserve">NC_Q4_24</t>
  </si>
  <si>
    <t xml:space="preserve">Net contribution Q4 2024</t>
  </si>
  <si>
    <t xml:space="preserve">Q4_24</t>
  </si>
  <si>
    <t xml:space="preserve">https://www.nasdaq.com/press-release/etoro-reports-fourth-quarter-and-full-year-2025-results-2026-02-17</t>
  </si>
  <si>
    <t xml:space="preserve">NC_Q1_25</t>
  </si>
  <si>
    <t xml:space="preserve">Net contribution Q1 2025</t>
  </si>
  <si>
    <t xml:space="preserve">Q1_25</t>
  </si>
  <si>
    <t xml:space="preserve">NC_Q2_25</t>
  </si>
  <si>
    <t xml:space="preserve">Net contribution Q2 2025</t>
  </si>
  <si>
    <t xml:space="preserve">Q2_25</t>
  </si>
  <si>
    <t xml:space="preserve">https://www.nasdaq.com/press-release/etoro-reports-second-quarter-2025-results-2025-08-12</t>
  </si>
  <si>
    <t xml:space="preserve">NC_Q3_25</t>
  </si>
  <si>
    <t xml:space="preserve">Net contribution Q3 2025</t>
  </si>
  <si>
    <t xml:space="preserve">Q3_25</t>
  </si>
  <si>
    <t xml:space="preserve">NC_Q4_25</t>
  </si>
  <si>
    <t xml:space="preserve">Net contribution Q4 2025</t>
  </si>
  <si>
    <t xml:space="preserve">Q4_25</t>
  </si>
  <si>
    <t xml:space="preserve">NC_Q1_26</t>
  </si>
  <si>
    <t xml:space="preserve">Net contribution Q1 2026</t>
  </si>
  <si>
    <t xml:space="preserve">Q1_26</t>
  </si>
  <si>
    <t xml:space="preserve">https://www.etoro.com/en-us/news-and-analysis/latest-news/press-release/etoro-reports-q1-2026-results/</t>
  </si>
  <si>
    <t xml:space="preserve">NC_Q2_26</t>
  </si>
  <si>
    <t xml:space="preserve">Net contribution Q2 2026</t>
  </si>
  <si>
    <t xml:space="preserve">Q2_26</t>
  </si>
  <si>
    <t xml:space="preserve">https://investors.etoro.com/news-releases/news-release-details/etoro-reports-second-quarter-2026-results</t>
  </si>
  <si>
    <t xml:space="preserve">EB_Q1_24</t>
  </si>
  <si>
    <t xml:space="preserve">Adj. EBITDA Q1 2024</t>
  </si>
  <si>
    <t xml:space="preserve">EB_Q2_24</t>
  </si>
  <si>
    <t xml:space="preserve">Adj. EBITDA Q2 2024</t>
  </si>
  <si>
    <t xml:space="preserve">Q2_24</t>
  </si>
  <si>
    <t xml:space="preserve">EB_Q3_24</t>
  </si>
  <si>
    <t xml:space="preserve">Adj. EBITDA Q3 2024</t>
  </si>
  <si>
    <t xml:space="preserve">EB_Q4_24</t>
  </si>
  <si>
    <t xml:space="preserve">Adj. EBITDA Q4 2024</t>
  </si>
  <si>
    <t xml:space="preserve">EB_Q1_25</t>
  </si>
  <si>
    <t xml:space="preserve">Adj. EBITDA Q1 2025</t>
  </si>
  <si>
    <t xml:space="preserve">EB_Q2_25</t>
  </si>
  <si>
    <t xml:space="preserve">Adj. EBITDA Q2 2025</t>
  </si>
  <si>
    <t xml:space="preserve">EB_Q3_25</t>
  </si>
  <si>
    <t xml:space="preserve">Adj. EBITDA Q3 2025</t>
  </si>
  <si>
    <t xml:space="preserve">EB_Q1_26</t>
  </si>
  <si>
    <t xml:space="preserve">Adj. EBITDA Q1 2026</t>
  </si>
  <si>
    <t xml:space="preserve">https://finance.yahoo.com/news/etoro-group-ltd-q1-2026-005426835.html</t>
  </si>
  <si>
    <t xml:space="preserve">EB_Q2_26</t>
  </si>
  <si>
    <t xml:space="preserve">Adj. EBITDA Q2 2026</t>
  </si>
  <si>
    <t xml:space="preserve">NI_Q1_24</t>
  </si>
  <si>
    <t xml:space="preserve">GAAP net income Q1 2024</t>
  </si>
  <si>
    <t xml:space="preserve">NI_Q2_24</t>
  </si>
  <si>
    <t xml:space="preserve">GAAP net income Q2 2024</t>
  </si>
  <si>
    <t xml:space="preserve">NI_Q3_24</t>
  </si>
  <si>
    <t xml:space="preserve">GAAP net income Q3 2024</t>
  </si>
  <si>
    <t xml:space="preserve">NI_Q4_24</t>
  </si>
  <si>
    <t xml:space="preserve">GAAP net income Q4 2024</t>
  </si>
  <si>
    <t xml:space="preserve">NI_Q1_25</t>
  </si>
  <si>
    <t xml:space="preserve">GAAP net income Q1 2025</t>
  </si>
  <si>
    <t xml:space="preserve">NI_Q2_25</t>
  </si>
  <si>
    <t xml:space="preserve">GAAP net income Q2 2025</t>
  </si>
  <si>
    <t xml:space="preserve">Q2 25 includes $15m IPO costs</t>
  </si>
  <si>
    <t xml:space="preserve">NI_Q3_25</t>
  </si>
  <si>
    <t xml:space="preserve">GAAP net income Q3 2025</t>
  </si>
  <si>
    <t xml:space="preserve">NI_Q1_26</t>
  </si>
  <si>
    <t xml:space="preserve">GAAP net income Q1 2026</t>
  </si>
  <si>
    <t xml:space="preserve">NI_Q2_26</t>
  </si>
  <si>
    <t xml:space="preserve">GAAP net income Q2 2026</t>
  </si>
  <si>
    <t xml:space="preserve">FA_Q3_24</t>
  </si>
  <si>
    <t xml:space="preserve">Funded accounts Q3 2024</t>
  </si>
  <si>
    <t xml:space="preserve">m</t>
  </si>
  <si>
    <t xml:space="preserve">https://investors.etoro.com/news-releases (quarterly results; via search summaries)</t>
  </si>
  <si>
    <t xml:space="preserve">FA_Q1_25</t>
  </si>
  <si>
    <t xml:space="preserve">Funded accounts Q1 2025</t>
  </si>
  <si>
    <t xml:space="preserve">FA_Q2_25</t>
  </si>
  <si>
    <t xml:space="preserve">Funded accounts Q2 2025</t>
  </si>
  <si>
    <t xml:space="preserve">FA_Q3_25</t>
  </si>
  <si>
    <t xml:space="preserve">Funded accounts Q3 2025</t>
  </si>
  <si>
    <t xml:space="preserve">FA_Q4_25</t>
  </si>
  <si>
    <t xml:space="preserve">Funded accounts Q4 2025</t>
  </si>
  <si>
    <t xml:space="preserve">FY25 press said 3.81m; Q4 release 3.85m (conflict)</t>
  </si>
  <si>
    <t xml:space="preserve">FA_Q1_26</t>
  </si>
  <si>
    <t xml:space="preserve">Funded accounts Q1 2026</t>
  </si>
  <si>
    <t xml:space="preserve">FA_Q2_26</t>
  </si>
  <si>
    <t xml:space="preserve">Funded accounts Q2 2026</t>
  </si>
  <si>
    <t xml:space="preserve">AUA_Q2_25</t>
  </si>
  <si>
    <t xml:space="preserve">AUA Q2 2025</t>
  </si>
  <si>
    <t xml:space="preserve">$bn</t>
  </si>
  <si>
    <t xml:space="preserve">CO/AGG</t>
  </si>
  <si>
    <t xml:space="preserve">AUA_Q3_25</t>
  </si>
  <si>
    <t xml:space="preserve">AUA Q3 2025</t>
  </si>
  <si>
    <t xml:space="preserve">Q3 25 via stocktwits recap (AGG)</t>
  </si>
  <si>
    <t xml:space="preserve">AUA_Q4_25</t>
  </si>
  <si>
    <t xml:space="preserve">AUA Q4 2025</t>
  </si>
  <si>
    <t xml:space="preserve">AUA_Q1_26</t>
  </si>
  <si>
    <t xml:space="preserve">AUA Q1 2026</t>
  </si>
  <si>
    <t xml:space="preserve">AUA_Q2_26</t>
  </si>
  <si>
    <t xml:space="preserve">AUA Q2 2026</t>
  </si>
  <si>
    <t xml:space="preserve">AUA_Aug26</t>
  </si>
  <si>
    <t xml:space="preserve">AUA August 2026</t>
  </si>
  <si>
    <t xml:space="preserve">Aug-26</t>
  </si>
  <si>
    <t xml:space="preserve">https://www.manilatimes.net/2026/09/14/tmt-newswire/globenewswire/etoro-reports-selected-august-business-metrics/2424521</t>
  </si>
  <si>
    <t xml:space="preserve">+3% YoY</t>
  </si>
  <si>
    <t xml:space="preserve">FA_Aug26</t>
  </si>
  <si>
    <t xml:space="preserve">Funded accounts August 2026</t>
  </si>
  <si>
    <t xml:space="preserve">same</t>
  </si>
  <si>
    <t xml:space="preserve">Identical to 30 Jun figure: possible stale repeat</t>
  </si>
  <si>
    <t xml:space="preserve">eToro: annual (US$m)</t>
  </si>
  <si>
    <t xml:space="preserve">NC_2023</t>
  </si>
  <si>
    <t xml:space="preserve">Net contribution 2023 (LOW CONFIDENCE: 'revenue (total fees)')</t>
  </si>
  <si>
    <t xml:space="preserve">FY23</t>
  </si>
  <si>
    <t xml:space="preserve">https://www.calcalistech.com/ctechnews/article/sj6ykcjakg</t>
  </si>
  <si>
    <t xml:space="preserve">PR</t>
  </si>
  <si>
    <t xml:space="preserve">NC_2024</t>
  </si>
  <si>
    <t xml:space="preserve">Net contribution 2024</t>
  </si>
  <si>
    <t xml:space="preserve">FY24</t>
  </si>
  <si>
    <t xml:space="preserve">NC_2025</t>
  </si>
  <si>
    <t xml:space="preserve">Net contribution 2025</t>
  </si>
  <si>
    <t xml:space="preserve">FY25</t>
  </si>
  <si>
    <t xml:space="preserve">https://www.financemagnates.com/fintech/etoro-reports-868m-net-contribution-for-2025-funded-accounts-rise-to-38-million/</t>
  </si>
  <si>
    <t xml:space="preserve">EB_2023</t>
  </si>
  <si>
    <t xml:space="preserve">Adj. EBITDA 2023</t>
  </si>
  <si>
    <t xml:space="preserve">EB_2024</t>
  </si>
  <si>
    <t xml:space="preserve">Adj. EBITDA 2024</t>
  </si>
  <si>
    <t xml:space="preserve">EB_2025</t>
  </si>
  <si>
    <t xml:space="preserve">Adj. EBITDA 2025</t>
  </si>
  <si>
    <t xml:space="preserve">NI_2023</t>
  </si>
  <si>
    <t xml:space="preserve">GAAP net income 2023</t>
  </si>
  <si>
    <t xml:space="preserve">NI_2024</t>
  </si>
  <si>
    <t xml:space="preserve">GAAP net income 2024</t>
  </si>
  <si>
    <t xml:space="preserve">NI_2025</t>
  </si>
  <si>
    <t xml:space="preserve">GAAP net income 2025</t>
  </si>
  <si>
    <t xml:space="preserve">eToro: stated growth rates and headline claims (for cross-check)</t>
  </si>
  <si>
    <t xml:space="preserve">S_NC_FY25</t>
  </si>
  <si>
    <t xml:space="preserve">Stated NC growth FY25</t>
  </si>
  <si>
    <t xml:space="preserve">%</t>
  </si>
  <si>
    <t xml:space="preserve">S_NI_FY25</t>
  </si>
  <si>
    <t xml:space="preserve">Stated NI growth FY25</t>
  </si>
  <si>
    <t xml:space="preserve">S_EB_FY25</t>
  </si>
  <si>
    <t xml:space="preserve">Stated adj EBITDA growth FY25</t>
  </si>
  <si>
    <t xml:space="preserve">S_NC_Q2_26</t>
  </si>
  <si>
    <t xml:space="preserve">Stated NC growth Q2 26</t>
  </si>
  <si>
    <t xml:space="preserve">S_EB_Q2_26</t>
  </si>
  <si>
    <t xml:space="preserve">Stated adj EBITDA growth Q2 26</t>
  </si>
  <si>
    <t xml:space="preserve">S_NI_Q2_26</t>
  </si>
  <si>
    <t xml:space="preserve">Stated NI growth Q2 26</t>
  </si>
  <si>
    <t xml:space="preserve">S_NC_Q1_26</t>
  </si>
  <si>
    <t xml:space="preserve">Stated NC growth Q1 26</t>
  </si>
  <si>
    <t xml:space="preserve">S_NI_Q1_26</t>
  </si>
  <si>
    <t xml:space="preserve">Stated NI growth Q1 26</t>
  </si>
  <si>
    <t xml:space="preserve">S_EB_Q1_26</t>
  </si>
  <si>
    <t xml:space="preserve">Stated adj EBITDA growth Q1 26</t>
  </si>
  <si>
    <t xml:space="preserve">S_NC_Q3_25</t>
  </si>
  <si>
    <t xml:space="preserve">Stated NC growth Q3 25</t>
  </si>
  <si>
    <t xml:space="preserve">S_EB_Q3_25</t>
  </si>
  <si>
    <t xml:space="preserve">Stated adj EBITDA growth Q3 25</t>
  </si>
  <si>
    <t xml:space="preserve">S_NI_Q3_25</t>
  </si>
  <si>
    <t xml:space="preserve">Stated NI growth Q3 25</t>
  </si>
  <si>
    <t xml:space="preserve">S_NC_Q2_25</t>
  </si>
  <si>
    <t xml:space="preserve">Stated NC growth Q2 25</t>
  </si>
  <si>
    <t xml:space="preserve">S_EB_Q2_25</t>
  </si>
  <si>
    <t xml:space="preserve">Stated adj EBITDA growth Q2 25</t>
  </si>
  <si>
    <t xml:space="preserve">S_NC_Q1_25</t>
  </si>
  <si>
    <t xml:space="preserve">Stated NC growth Q1 25</t>
  </si>
  <si>
    <t xml:space="preserve">S_FA_Q2_26</t>
  </si>
  <si>
    <t xml:space="preserve">Stated funded-account growth Q2 26</t>
  </si>
  <si>
    <t xml:space="preserve">S_AUA_Q2_26</t>
  </si>
  <si>
    <t xml:space="preserve">Stated AUA growth Q2 26</t>
  </si>
  <si>
    <t xml:space="preserve">S_FA_Q3_25</t>
  </si>
  <si>
    <t xml:space="preserve">Stated funded-account growth Q3 25</t>
  </si>
  <si>
    <t xml:space="preserve">S_MARGIN_Q2_26</t>
  </si>
  <si>
    <t xml:space="preserve">Stated adj EBITDA margin Q2 26</t>
  </si>
  <si>
    <t xml:space="preserve">S_REV_Q2_26_FXNG</t>
  </si>
  <si>
    <t xml:space="preserve">Press 'revenue' growth Q2 26 (FX News Group)</t>
  </si>
  <si>
    <t xml:space="preserve">https://fxnewsgroup.com/forex-news/retail-forex/etoro-shares-drop-10-as-revenues-fall-11-in-q2-2026-to-229-million/</t>
  </si>
  <si>
    <t xml:space="preserve">TOTREV_Q2_26</t>
  </si>
  <si>
    <t xml:space="preserve">Total revenues &amp; income Q2 26</t>
  </si>
  <si>
    <t xml:space="preserve">Q2 26</t>
  </si>
  <si>
    <t xml:space="preserve">https://www.coindesk.com/business/2026/08/11/digital-broker-etoro-reports-q2-crypto-revenue-dropped-120-compared-to-2025</t>
  </si>
  <si>
    <t xml:space="preserve">TOTREV_Q2_25</t>
  </si>
  <si>
    <t xml:space="preserve">Total revenues &amp; income Q2 25</t>
  </si>
  <si>
    <t xml:space="preserve">Q2 25</t>
  </si>
  <si>
    <t xml:space="preserve">CRYPTO_Q2_26</t>
  </si>
  <si>
    <t xml:space="preserve">Crypto gross revenue Q2 26</t>
  </si>
  <si>
    <t xml:space="preserve">CRYPTO_Q2_25</t>
  </si>
  <si>
    <t xml:space="preserve">Crypto gross revenue Q2 25</t>
  </si>
  <si>
    <t xml:space="preserve">Press headline claims crypto revenue 'dropped 120%'</t>
  </si>
  <si>
    <t xml:space="preserve">NC_CM_Q2_26</t>
  </si>
  <si>
    <t xml:space="preserve">NC: capital markets Q2 26</t>
  </si>
  <si>
    <t xml:space="preserve">https://www.investing.com/news/company-news/etoro-q2-2026-slides-ai-push-tradezero-deal-amid-crypto-retreat-93CH-4851953</t>
  </si>
  <si>
    <t xml:space="preserve">NC_CR_Q2_26</t>
  </si>
  <si>
    <t xml:space="preserve">NC: crypto Q2 26</t>
  </si>
  <si>
    <t xml:space="preserve">NC_NII_Q2_26</t>
  </si>
  <si>
    <t xml:space="preserve">NC: net interest income Q2 26</t>
  </si>
  <si>
    <t xml:space="preserve">NC_MON_Q2_26</t>
  </si>
  <si>
    <t xml:space="preserve">NC: eToro Money Q2 26</t>
  </si>
  <si>
    <t xml:space="preserve">CRYPTO_SHARE_Q4_24</t>
  </si>
  <si>
    <t xml:space="preserve">Crypto share of trading commission Q4 24</t>
  </si>
  <si>
    <t xml:space="preserve">Q4 24</t>
  </si>
  <si>
    <t xml:space="preserve">CRYPTO_SHARE_Q2_26</t>
  </si>
  <si>
    <t xml:space="preserve">Crypto share of trading commission Q2 26</t>
  </si>
  <si>
    <t xml:space="preserve">eToro: capital, valuation and corporate</t>
  </si>
  <si>
    <t xml:space="preserve">PX_ETOR</t>
  </si>
  <si>
    <t xml:space="preserve">ETOR share price</t>
  </si>
  <si>
    <t xml:space="preserve">$</t>
  </si>
  <si>
    <t xml:space="preserve">28-Sep-26</t>
  </si>
  <si>
    <t xml:space="preserve">https://www.investing.com/equities/etoro-group-ltd</t>
  </si>
  <si>
    <t xml:space="preserve">AGG</t>
  </si>
  <si>
    <t xml:space="preserve">SH_AGG</t>
  </si>
  <si>
    <t xml:space="preserve">Shares outstanding (latest aggregator, base case)</t>
  </si>
  <si>
    <t xml:space="preserve">Sep-26</t>
  </si>
  <si>
    <t xml:space="preserve">https://stockanalysis.com/stocks/etor/statistics/</t>
  </si>
  <si>
    <t xml:space="preserve">SH_20F</t>
  </si>
  <si>
    <t xml:space="preserve">Shares outstanding 20-F (68.65m Cl A + 14.20m Cl B)</t>
  </si>
  <si>
    <t xml:space="preserve">31-Dec-25</t>
  </si>
  <si>
    <t xml:space="preserve">https://www.sec.gov/Archives/edgar/data/0001493318/000121390026022034/ea0278371-20f_etoro.htm</t>
  </si>
  <si>
    <t xml:space="preserve">SH_COVER</t>
  </si>
  <si>
    <t xml:space="preserve">Shares per Feb-26 6-K cover (rejected: does not reconcile to 20-F Cl B)</t>
  </si>
  <si>
    <t xml:space="preserve">20-Feb-26</t>
  </si>
  <si>
    <t xml:space="preserve">https://www.sec.gov/Archives/edgar/data/1493318/000121390026018169/ea0277653-6k_etoro.htm</t>
  </si>
  <si>
    <t xml:space="preserve">EPS_DIL_Q2_26</t>
  </si>
  <si>
    <t xml:space="preserve">Diluted EPS Q2 26</t>
  </si>
  <si>
    <t xml:space="preserve">https://www.quiverquant.com/news/ETORO+GROUP+($ETOR)+Releases+Q2+2026+Earnings</t>
  </si>
  <si>
    <t xml:space="preserve">CASH_ETOR</t>
  </si>
  <si>
    <t xml:space="preserve">Cash, cash equivalents &amp; ST investments</t>
  </si>
  <si>
    <t xml:space="preserve">30-Jun-26</t>
  </si>
  <si>
    <t xml:space="preserve">Split corporate vs regulatory capital N/D</t>
  </si>
  <si>
    <t xml:space="preserve">DEBT_ETOR</t>
  </si>
  <si>
    <t xml:space="preserve">Financial debt (assumed nil; N/D)</t>
  </si>
  <si>
    <t xml:space="preserve">N/D</t>
  </si>
  <si>
    <t xml:space="preserve">-</t>
  </si>
  <si>
    <t xml:space="preserve">Assumption</t>
  </si>
  <si>
    <t xml:space="preserve">IPO_PX</t>
  </si>
  <si>
    <t xml:space="preserve">IPO price</t>
  </si>
  <si>
    <t xml:space="preserve">13-May-25</t>
  </si>
  <si>
    <t xml:space="preserve">https://www.cnbc.com/2025/05/13/etoro-prices-ipo-52-per-share.html</t>
  </si>
  <si>
    <t xml:space="preserve">IPO_VAL</t>
  </si>
  <si>
    <t xml:space="preserve">IPO valuation</t>
  </si>
  <si>
    <t xml:space="preserve">IPO_PRIMARY</t>
  </si>
  <si>
    <t xml:space="preserve">IPO primary proceeds to company (5.96m sh x $52)</t>
  </si>
  <si>
    <t xml:space="preserve">May-25</t>
  </si>
  <si>
    <t xml:space="preserve">https://www.investmentnews.com/ria-news/robinhood-rival-etoro-raises-almost-620m-in-us-ipo/260506</t>
  </si>
  <si>
    <t xml:space="preserve">RAISE_2023</t>
  </si>
  <si>
    <t xml:space="preserve">2023 funding round (via 2021 AIA) at $3.5bn</t>
  </si>
  <si>
    <t xml:space="preserve">Mar-23</t>
  </si>
  <si>
    <t xml:space="preserve">https://techcrunch.com/2023/03/21/after-calling-off-spac-fintech-etoro-secures-250m-at-a-3-5b-valuation/</t>
  </si>
  <si>
    <t xml:space="preserve">SPAC_VAL</t>
  </si>
  <si>
    <t xml:space="preserve">SPAC valuation (terminated Jul 2022)</t>
  </si>
  <si>
    <t xml:space="preserve">Mar-21</t>
  </si>
  <si>
    <t xml:space="preserve">https://www.coindesk.com/business/2022/07/05/etoro-spac-deal-for-public-listing-canceled-as-transaction-becomes-impracticable</t>
  </si>
  <si>
    <t xml:space="preserve">BUYBACK_ASR</t>
  </si>
  <si>
    <t xml:space="preserve">Accelerated share repurchase (Citi)</t>
  </si>
  <si>
    <t xml:space="preserve">Feb-26</t>
  </si>
  <si>
    <t xml:space="preserve">https://www.theglobeandmail.com/investing/markets/stocks/ETOR/pressreleases/329879/</t>
  </si>
  <si>
    <t xml:space="preserve">INSIDER_VOTE</t>
  </si>
  <si>
    <t xml:space="preserve">Yoni Assia voting power post-IPO</t>
  </si>
  <si>
    <t xml:space="preserve">https://www.calcalistech.com/ctechnews/article/h1pgtdleel</t>
  </si>
  <si>
    <t xml:space="preserve">TZ_PRICE</t>
  </si>
  <si>
    <t xml:space="preserve">TradeZero max consideration</t>
  </si>
  <si>
    <t xml:space="preserve">https://finance.yahoo.com/markets/stocks/articles/etoro-strikes-231m-tradezero-deal-171400979.html</t>
  </si>
  <si>
    <t xml:space="preserve">TZ_REV</t>
  </si>
  <si>
    <t xml:space="preserve">TradeZero LTM revenue</t>
  </si>
  <si>
    <t xml:space="preserve">LTM Q2 26</t>
  </si>
  <si>
    <t xml:space="preserve">TZ_SH</t>
  </si>
  <si>
    <t xml:space="preserve">TradeZero max new eToro shares</t>
  </si>
  <si>
    <t xml:space="preserve">TZ_STATED</t>
  </si>
  <si>
    <t xml:space="preserve">TradeZero stated EV/revenue</t>
  </si>
  <si>
    <t xml:space="preserve">x</t>
  </si>
  <si>
    <t xml:space="preserve">SPACESHIP_CLIENTS</t>
  </si>
  <si>
    <t xml:space="preserve">Spaceship clients acquired (upper bound)</t>
  </si>
  <si>
    <t xml:space="preserve">2024-25</t>
  </si>
  <si>
    <t xml:space="preserve">https://investors.etoro.com/news-releases/news-release-details/etoro-expands-long-term-savings-offer-acquisition-spaceship-deal</t>
  </si>
  <si>
    <t xml:space="preserve">INITIATIVES</t>
  </si>
  <si>
    <t xml:space="preserve">Concurrent forward initiatives (count; see list in Scorecard)</t>
  </si>
  <si>
    <t xml:space="preserve">#</t>
  </si>
  <si>
    <t xml:space="preserve">Analyst count from company releases</t>
  </si>
  <si>
    <t xml:space="preserve">Analyst</t>
  </si>
  <si>
    <t xml:space="preserve">REVERSED</t>
  </si>
  <si>
    <t xml:space="preserve">Reversed or abandoned strategic decisions (SPAC 2021-22)</t>
  </si>
  <si>
    <t xml:space="preserve">coindesk (above)</t>
  </si>
  <si>
    <t xml:space="preserve">FX (mid-market, late Sep 2026)</t>
  </si>
  <si>
    <t xml:space="preserve">FX_GBP</t>
  </si>
  <si>
    <t xml:space="preserve">USD per GBP</t>
  </si>
  <si>
    <t xml:space="preserve">25-Sep-26</t>
  </si>
  <si>
    <t xml:space="preserve">https://www.mtfxgroup.com/tools/historical-currency-exchange-rates/gbp-to-usd-rate/</t>
  </si>
  <si>
    <t xml:space="preserve">FX_EUR</t>
  </si>
  <si>
    <t xml:space="preserve">USD per EUR</t>
  </si>
  <si>
    <t xml:space="preserve">18-Sep-26</t>
  </si>
  <si>
    <t xml:space="preserve">FX_CHF_INV</t>
  </si>
  <si>
    <t xml:space="preserve">CHF per USD</t>
  </si>
  <si>
    <t xml:space="preserve">FX_PLN</t>
  </si>
  <si>
    <t xml:space="preserve">USD per PLN</t>
  </si>
  <si>
    <t xml:space="preserve">Peers (local currency, millions unless stated)</t>
  </si>
  <si>
    <t xml:space="preserve">IG_REV_CY25</t>
  </si>
  <si>
    <t xml:space="preserve">IG total revenue CY25</t>
  </si>
  <si>
    <t xml:space="preserve">GBPm</t>
  </si>
  <si>
    <t xml:space="preserve">CY25</t>
  </si>
  <si>
    <t xml:space="preserve">https://www.financemagnates.com/forex/brokers/ig-group-posts-record-112bn-revenue-launches-strategic-review-as-customer-growth-accelerates/amp/</t>
  </si>
  <si>
    <t xml:space="preserve">IG_REV_H126</t>
  </si>
  <si>
    <t xml:space="preserve">IG total revenue H1 26</t>
  </si>
  <si>
    <t xml:space="preserve">H1 26</t>
  </si>
  <si>
    <t xml:space="preserve">https://www.investing.com/news/company-news/ig-group-h1-2026-slides-strong-growth-offset-by-margin-pressure-93CH-4827248</t>
  </si>
  <si>
    <t xml:space="preserve">IG_REV_H1G</t>
  </si>
  <si>
    <t xml:space="preserve">IG H1 26 revenue growth</t>
  </si>
  <si>
    <t xml:space="preserve">IG_EBITDA_CY25</t>
  </si>
  <si>
    <t xml:space="preserve">IG EBITDA CY25</t>
  </si>
  <si>
    <t xml:space="preserve">IG_PBT_CY25</t>
  </si>
  <si>
    <t xml:space="preserve">IG adj. PBT CY25</t>
  </si>
  <si>
    <t xml:space="preserve">IG_EPS_CY25</t>
  </si>
  <si>
    <t xml:space="preserve">IG adj. EPS CY25</t>
  </si>
  <si>
    <t xml:space="preserve">p</t>
  </si>
  <si>
    <t xml:space="preserve">IG_PX</t>
  </si>
  <si>
    <t xml:space="preserve">IG share price</t>
  </si>
  <si>
    <t xml:space="preserve">14-Sep-26</t>
  </si>
  <si>
    <t xml:space="preserve">https://stockanalysis.com/quote/lon/IGG/market-cap/</t>
  </si>
  <si>
    <t xml:space="preserve">IG_MCAP</t>
  </si>
  <si>
    <t xml:space="preserve">IG market cap</t>
  </si>
  <si>
    <t xml:space="preserve">IG_ACTIVE</t>
  </si>
  <si>
    <t xml:space="preserve">IG active customers</t>
  </si>
  <si>
    <t xml:space="preserve">CO/PR</t>
  </si>
  <si>
    <t xml:space="preserve">IG_AUA</t>
  </si>
  <si>
    <t xml:space="preserve">IG AuA</t>
  </si>
  <si>
    <t xml:space="preserve">GBPbn</t>
  </si>
  <si>
    <t xml:space="preserve">Jun-26</t>
  </si>
  <si>
    <t xml:space="preserve">P5_REV_FY25</t>
  </si>
  <si>
    <t xml:space="preserve">Plus500 revenue FY25</t>
  </si>
  <si>
    <t xml:space="preserve">https://tradeinformer.com/broker-news/plus500-fy2025-revenue-us-futures-growth</t>
  </si>
  <si>
    <t xml:space="preserve">P5_REV_H126</t>
  </si>
  <si>
    <t xml:space="preserve">Plus500 revenue H1 26</t>
  </si>
  <si>
    <t xml:space="preserve">https://www.financemagnates.com/forex/brokers/plus500-h1-revenue-climbs-12-to-4629-million-as-ebitda-growth-stalls-at-1/</t>
  </si>
  <si>
    <t xml:space="preserve">P5_REV_H1G</t>
  </si>
  <si>
    <t xml:space="preserve">Plus500 H1 26 revenue growth</t>
  </si>
  <si>
    <t xml:space="preserve">P5_EB_FY25</t>
  </si>
  <si>
    <t xml:space="preserve">Plus500 EBITDA FY25</t>
  </si>
  <si>
    <t xml:space="preserve">tradeinformer (above)</t>
  </si>
  <si>
    <t xml:space="preserve">P5_EB_H126</t>
  </si>
  <si>
    <t xml:space="preserve">Plus500 EBITDA H1 26</t>
  </si>
  <si>
    <t xml:space="preserve">P5_EB_H1G</t>
  </si>
  <si>
    <t xml:space="preserve">Plus500 H1 26 EBITDA growth</t>
  </si>
  <si>
    <t xml:space="preserve">P5_NP_FY25</t>
  </si>
  <si>
    <t xml:space="preserve">Plus500 net profit FY25</t>
  </si>
  <si>
    <t xml:space="preserve">P5_MCAP</t>
  </si>
  <si>
    <t xml:space="preserve">Plus500 market cap</t>
  </si>
  <si>
    <t xml:space="preserve">late Aug-26</t>
  </si>
  <si>
    <t xml:space="preserve">https://stockanalysis.com/quote/lon/PLUS/market-cap/</t>
  </si>
  <si>
    <t xml:space="preserve">P5_CASH</t>
  </si>
  <si>
    <t xml:space="preserve">Plus500 cash balances</t>
  </si>
  <si>
    <t xml:space="preserve">P5_ACTIVE</t>
  </si>
  <si>
    <t xml:space="preserve">Plus500 active customers</t>
  </si>
  <si>
    <t xml:space="preserve">P5_DEP</t>
  </si>
  <si>
    <t xml:space="preserve">Plus500 customer deposits</t>
  </si>
  <si>
    <t xml:space="preserve">WB_REV_FY25</t>
  </si>
  <si>
    <t xml:space="preserve">Webull revenue FY25</t>
  </si>
  <si>
    <t xml:space="preserve">https://www.barchart.com/story/news/568425/webull-reports-fourth-quarter-and-full-year-2025-financial-results</t>
  </si>
  <si>
    <t xml:space="preserve">WB_REV_Q126</t>
  </si>
  <si>
    <t xml:space="preserve">Webull revenue Q1 26</t>
  </si>
  <si>
    <t xml:space="preserve">Q1 26</t>
  </si>
  <si>
    <t xml:space="preserve">https://www.sec.gov/Archives/edgar/data/0001866364/000121390026060085/ea029183001ex99-1.htm</t>
  </si>
  <si>
    <t xml:space="preserve">WB_REV_Q125</t>
  </si>
  <si>
    <t xml:space="preserve">Webull revenue Q1 25</t>
  </si>
  <si>
    <t xml:space="preserve">Q1 25</t>
  </si>
  <si>
    <t xml:space="preserve">WB_REV_Q226</t>
  </si>
  <si>
    <t xml:space="preserve">Webull revenue Q2 26</t>
  </si>
  <si>
    <t xml:space="preserve">https://finance.yahoo.com/markets/stocks/articles/webull-q2-earnings-call-highlights-230209780.html</t>
  </si>
  <si>
    <t xml:space="preserve">WB_REV_Q2G</t>
  </si>
  <si>
    <t xml:space="preserve">Webull Q2 26 revenue growth</t>
  </si>
  <si>
    <t xml:space="preserve">WB_ADJOP_Q226</t>
  </si>
  <si>
    <t xml:space="preserve">Webull adj. operating profit Q2 26</t>
  </si>
  <si>
    <t xml:space="preserve">WB_NI_Q226</t>
  </si>
  <si>
    <t xml:space="preserve">Webull GAAP NI Q2 26</t>
  </si>
  <si>
    <t xml:space="preserve">WB_MCAP</t>
  </si>
  <si>
    <t xml:space="preserve">Webull market cap</t>
  </si>
  <si>
    <t xml:space="preserve">https://stockanalysis.com/stocks/bull/market-cap/</t>
  </si>
  <si>
    <t xml:space="preserve">WB_FA</t>
  </si>
  <si>
    <t xml:space="preserve">Webull funded accounts</t>
  </si>
  <si>
    <t xml:space="preserve">WB_ASSETS</t>
  </si>
  <si>
    <t xml:space="preserve">Webull customer assets</t>
  </si>
  <si>
    <t xml:space="preserve">XT_REV_FY25</t>
  </si>
  <si>
    <t xml:space="preserve">XTB total operating income FY25</t>
  </si>
  <si>
    <t xml:space="preserve">PLNm</t>
  </si>
  <si>
    <t xml:space="preserve">https://www.financemagnates.com/forex/brokers/xtb-posts-record-revenue-but-net-profit-falls-25-as-marketing-bill-balloons/</t>
  </si>
  <si>
    <t xml:space="preserve">XT_REV_H126</t>
  </si>
  <si>
    <t xml:space="preserve">XTB total operating income H1 26</t>
  </si>
  <si>
    <t xml:space="preserve">https://fxnewsgroup.com/wp-content/uploads/2026/07/XTB-Q2-2026-results.pdf</t>
  </si>
  <si>
    <t xml:space="preserve">XT_REV_H1G</t>
  </si>
  <si>
    <t xml:space="preserve">XTB H1 26 operating income growth</t>
  </si>
  <si>
    <t xml:space="preserve">XT_NP_FY25</t>
  </si>
  <si>
    <t xml:space="preserve">XTB net profit FY25</t>
  </si>
  <si>
    <t xml:space="preserve">financemagnates (above)</t>
  </si>
  <si>
    <t xml:space="preserve">XT_NP_H126</t>
  </si>
  <si>
    <t xml:space="preserve">XTB net profit H1 26</t>
  </si>
  <si>
    <t xml:space="preserve">XT_NP_H1G</t>
  </si>
  <si>
    <t xml:space="preserve">XTB H1 26 net profit growth</t>
  </si>
  <si>
    <t xml:space="preserve">XT_EB_H126</t>
  </si>
  <si>
    <t xml:space="preserve">XTB EBITDA H1 26</t>
  </si>
  <si>
    <t xml:space="preserve">XT_MCAP</t>
  </si>
  <si>
    <t xml:space="preserve">XTB market cap</t>
  </si>
  <si>
    <t xml:space="preserve">https://stockanalysis.com/quote/wse/XTB/market-cap/</t>
  </si>
  <si>
    <t xml:space="preserve">XT_ACTIVE</t>
  </si>
  <si>
    <t xml:space="preserve">XTB active clients</t>
  </si>
  <si>
    <t xml:space="preserve">XT_CLIENTS</t>
  </si>
  <si>
    <t xml:space="preserve">XTB total clients</t>
  </si>
  <si>
    <t xml:space="preserve">T2_REV_FY25</t>
  </si>
  <si>
    <t xml:space="preserve">Trading 212 UK Ltd revenue FY25</t>
  </si>
  <si>
    <t xml:space="preserve">https://financefeeds.com/trading-212-revenue-jumps-to-277-6m-in-2025-as-profit-nearly-triples/</t>
  </si>
  <si>
    <t xml:space="preserve">CO (Companies House)</t>
  </si>
  <si>
    <t xml:space="preserve">T2_REV_FY24</t>
  </si>
  <si>
    <t xml:space="preserve">Trading 212 UK Ltd revenue FY24</t>
  </si>
  <si>
    <t xml:space="preserve">T2_PBT_FY25</t>
  </si>
  <si>
    <t xml:space="preserve">Trading 212 UK Ltd PBT FY25</t>
  </si>
  <si>
    <t xml:space="preserve">T2_NP_FY25</t>
  </si>
  <si>
    <t xml:space="preserve">Trading 212 UK Ltd net profit FY25</t>
  </si>
  <si>
    <t xml:space="preserve">T2_FA</t>
  </si>
  <si>
    <t xml:space="preserve">Trading 212 funded accounts (group, self-reported)</t>
  </si>
  <si>
    <t xml:space="preserve">https://newshub.medianet.com.au/2026/09/trading-212-sets-its-sights-on-australia-as-the-next-stage-of-global-growth/170543/</t>
  </si>
  <si>
    <t xml:space="preserve">T2_ASSETS</t>
  </si>
  <si>
    <t xml:space="preserve">Trading 212 UK client money + custody assets</t>
  </si>
  <si>
    <t xml:space="preserve">SQ_REV_FY25</t>
  </si>
  <si>
    <t xml:space="preserve">Swissquote net revenues FY25</t>
  </si>
  <si>
    <t xml:space="preserve">CHFm</t>
  </si>
  <si>
    <t xml:space="preserve">https://www.financemagnates.com/forex/swissquotes-2025-revenue-and-pre-tax-profits-beat-guidance/</t>
  </si>
  <si>
    <t xml:space="preserve">SQ_REV_H125</t>
  </si>
  <si>
    <t xml:space="preserve">Swissquote net revenues H1 25</t>
  </si>
  <si>
    <t xml:space="preserve">H1 25</t>
  </si>
  <si>
    <t xml:space="preserve">https://fxnewsgroup.com/forex-news/retail-forex/swissquote-sets-records-for-revenue-chf-358m-and-profits-chf-158m-in-h1-2025/</t>
  </si>
  <si>
    <t xml:space="preserve">SQ_REV_H126</t>
  </si>
  <si>
    <t xml:space="preserve">Swissquote net revenues H1 26</t>
  </si>
  <si>
    <t xml:space="preserve">https://www.investing.com/news/company-news/swissquote-h1-2026-slides-record-assets-overshadowed-by-crypto-miss-93CH-4857104</t>
  </si>
  <si>
    <t xml:space="preserve">SQ_PBT_FY25</t>
  </si>
  <si>
    <t xml:space="preserve">Swissquote PBT FY25</t>
  </si>
  <si>
    <t xml:space="preserve">SQ_PBT_H125</t>
  </si>
  <si>
    <t xml:space="preserve">Swissquote PBT H1 25</t>
  </si>
  <si>
    <t xml:space="preserve">fxnewsgroup (above)</t>
  </si>
  <si>
    <t xml:space="preserve">SQ_PBT_H126</t>
  </si>
  <si>
    <t xml:space="preserve">Swissquote PBT H1 26</t>
  </si>
  <si>
    <t xml:space="preserve">SQ_PX</t>
  </si>
  <si>
    <t xml:space="preserve">Swissquote share price</t>
  </si>
  <si>
    <t xml:space="preserve">CHF</t>
  </si>
  <si>
    <t xml:space="preserve">https://stockanalysis.com/quote/swx/SQN/statistics/</t>
  </si>
  <si>
    <t xml:space="preserve">SQ_SH</t>
  </si>
  <si>
    <t xml:space="preserve">Swissquote shares outstanding</t>
  </si>
  <si>
    <t xml:space="preserve">SQ_ACC</t>
  </si>
  <si>
    <t xml:space="preserve">Swissquote accounts</t>
  </si>
  <si>
    <t xml:space="preserve">SQ_ASSETS</t>
  </si>
  <si>
    <t xml:space="preserve">Swissquote client assets</t>
  </si>
  <si>
    <t xml:space="preserve">CHFbn</t>
  </si>
  <si>
    <t xml:space="preserve">SQ_MARGIN_STATED</t>
  </si>
  <si>
    <t xml:space="preserve">Swissquote stated PBT margin H1 26</t>
  </si>
  <si>
    <t xml:space="preserve">M&amp;A cross-checks</t>
  </si>
  <si>
    <t xml:space="preserve">FT_PRICE</t>
  </si>
  <si>
    <t xml:space="preserve">IG/Freetrade price (completed 1 Apr 2025)</t>
  </si>
  <si>
    <t xml:space="preserve">Apr-25</t>
  </si>
  <si>
    <t xml:space="preserve">https://www.cnbc.com/2025/01/16/freetrade-acquired-up-by-ig-group-at-29percent-valuation-discount.html</t>
  </si>
  <si>
    <t xml:space="preserve">FT_REV</t>
  </si>
  <si>
    <t xml:space="preserve">Freetrade revenue 2024</t>
  </si>
  <si>
    <t xml:space="preserve">https://www.etfstream.com/articles/ig-acquires-freetrade-for-gbp160m</t>
  </si>
  <si>
    <t xml:space="preserve">FT_CUST</t>
  </si>
  <si>
    <t xml:space="preserve">Freetrade customers</t>
  </si>
  <si>
    <t xml:space="preserve">YE24</t>
  </si>
  <si>
    <t xml:space="preserve">FT_AUA</t>
  </si>
  <si>
    <t xml:space="preserve">Freetrade AUA</t>
  </si>
  <si>
    <t xml:space="preserve">FT_STATED</t>
  </si>
  <si>
    <t xml:space="preserve">Stated multiple ('~5x run-rate revenue')</t>
  </si>
  <si>
    <t xml:space="preserve">SX_STAKE_PRICE</t>
  </si>
  <si>
    <t xml:space="preserve">Mandatum 19.8% Saxo stake price</t>
  </si>
  <si>
    <t xml:space="preserve">EURm</t>
  </si>
  <si>
    <t xml:space="preserve">Mar-26</t>
  </si>
  <si>
    <t xml:space="preserve">https://financefeeds.com/saxo-banks-new-majority-owner-j-safra-sarasin-replaces-geely/</t>
  </si>
  <si>
    <t xml:space="preserve">SX_STAKE_PCT</t>
  </si>
  <si>
    <t xml:space="preserve">Mandatum stake</t>
  </si>
  <si>
    <t xml:space="preserve">SX_NP</t>
  </si>
  <si>
    <t xml:space="preserve">Saxo adj. net profit FY25</t>
  </si>
  <si>
    <t xml:space="preserve">https://www.home.saxo/content/commentaries/pr/press-release/saxo-bank-reports-record-breaking-number-of-clients-and-client-assets-14042026</t>
  </si>
  <si>
    <t xml:space="preserve">SX_CLIENTS</t>
  </si>
  <si>
    <t xml:space="preserve">Saxo clients</t>
  </si>
  <si>
    <t xml:space="preserve">SX_ASSETS</t>
  </si>
  <si>
    <t xml:space="preserve">Saxo client assets</t>
  </si>
  <si>
    <t xml:space="preserve">EURbn</t>
  </si>
  <si>
    <t xml:space="preserve">UD_EV</t>
  </si>
  <si>
    <t xml:space="preserve">IG/Underdog upfront EV (pending; context only)</t>
  </si>
  <si>
    <t xml:space="preserve">Jul-26</t>
  </si>
  <si>
    <t xml:space="preserve">https://finance.yahoo.com/markets/stocks/articles/ig-group-buy-underdog-1-203700994.html</t>
  </si>
  <si>
    <t xml:space="preserve">UD_REV</t>
  </si>
  <si>
    <t xml:space="preserve">Underdog LTM net revenue</t>
  </si>
  <si>
    <t xml:space="preserve">LTM Jun-26</t>
  </si>
  <si>
    <t xml:space="preserve">Moat and scorecard analyst inputs</t>
  </si>
  <si>
    <t xml:space="preserve">CASHCREDIT_A</t>
  </si>
  <si>
    <t xml:space="preserve">Cash credit case A</t>
  </si>
  <si>
    <t xml:space="preserve">100% of $1.2bn treated as free</t>
  </si>
  <si>
    <t xml:space="preserve">CASHCREDIT_B</t>
  </si>
  <si>
    <t xml:space="preserve">Cash credit case B (central)</t>
  </si>
  <si>
    <t xml:space="preserve">50% haircut for regulatory/working capital</t>
  </si>
  <si>
    <t xml:space="preserve">CASHCREDIT_C</t>
  </si>
  <si>
    <t xml:space="preserve">Cash credit case C</t>
  </si>
  <si>
    <t xml:space="preserve">No cash credit</t>
  </si>
  <si>
    <t xml:space="preserve">TOL_PCT</t>
  </si>
  <si>
    <t xml:space="preserve">Cross-check tolerance (growth/margins, pp)</t>
  </si>
  <si>
    <t xml:space="preserve">Inputs rounded to $1m in summaries</t>
  </si>
  <si>
    <t xml:space="preserve">TOL_ABS</t>
  </si>
  <si>
    <t xml:space="preserve">Cross-check tolerance (absolute $m)</t>
  </si>
  <si>
    <t xml:space="preserve">TOL_MCAP</t>
  </si>
  <si>
    <t xml:space="preserve">Cross-check tolerance (market cap, local m)</t>
  </si>
  <si>
    <t xml:space="preserve">TOL_SH</t>
  </si>
  <si>
    <t xml:space="preserve">Cross-check tolerance (shares / accounts, m)</t>
  </si>
  <si>
    <t xml:space="preserve">TOL_MULT</t>
  </si>
  <si>
    <t xml:space="preserve">Cross-check tolerance (multiples, x)</t>
  </si>
  <si>
    <t xml:space="preserve">FA_Q4_25_PRESS</t>
  </si>
  <si>
    <t xml:space="preserve">Funded accounts Q4 25 per FY25 press</t>
  </si>
  <si>
    <t xml:space="preserve">Q4 25</t>
  </si>
  <si>
    <t xml:space="preserve">SQ_MCAP_Q</t>
  </si>
  <si>
    <t xml:space="preserve">Swissquote quoted market cap</t>
  </si>
  <si>
    <t xml:space="preserve">19-Sep-26</t>
  </si>
  <si>
    <t xml:space="preserve">ETOR_MCAP_Q</t>
  </si>
  <si>
    <t xml:space="preserve">eToro quoted market cap</t>
  </si>
  <si>
    <t xml:space="preserve">VAL_2023</t>
  </si>
  <si>
    <t xml:space="preserve">2023 round post-money valuation</t>
  </si>
  <si>
    <t xml:space="preserve">Historical build &amp; ratios: eToro (US$m). All formulas; green = link to Inputs. Derived quarters are marked.</t>
  </si>
  <si>
    <t xml:space="preserve">Quarterly</t>
  </si>
  <si>
    <t xml:space="preserve">Q1 24</t>
  </si>
  <si>
    <t xml:space="preserve">Q2 24</t>
  </si>
  <si>
    <t xml:space="preserve">Q3 24</t>
  </si>
  <si>
    <t xml:space="preserve">Q3 25</t>
  </si>
  <si>
    <t xml:space="preserve">Net contribution ($m)</t>
  </si>
  <si>
    <t xml:space="preserve">Q2 24 derived = FY24 less Q1, Q3, Q4</t>
  </si>
  <si>
    <t xml:space="preserve">Adj. EBITDA ($m)</t>
  </si>
  <si>
    <t xml:space="preserve">Q4 25 derived = FY25 less Q1-Q3</t>
  </si>
  <si>
    <t xml:space="preserve">GAAP net income ($m)</t>
  </si>
  <si>
    <t xml:space="preserve">Funded accounts (m)</t>
  </si>
  <si>
    <t xml:space="preserve">Blank = N/D</t>
  </si>
  <si>
    <t xml:space="preserve">AUA ($bn)</t>
  </si>
  <si>
    <t xml:space="preserve">Blank = N/D; Q3 25 via aggregator</t>
  </si>
  <si>
    <t xml:space="preserve">NC YoY growth</t>
  </si>
  <si>
    <t xml:space="preserve">Adj. EBITDA YoY growth</t>
  </si>
  <si>
    <t xml:space="preserve">Net income YoY growth</t>
  </si>
  <si>
    <t xml:space="preserve">Adj. EBITDA margin (on NC)</t>
  </si>
  <si>
    <t xml:space="preserve">Net margin (NI / NC)</t>
  </si>
  <si>
    <t xml:space="preserve">Profitable quarter (1 = NI &gt; 0)</t>
  </si>
  <si>
    <t xml:space="preserve">Take-rate: annualised NC / AUA</t>
  </si>
  <si>
    <t xml:space="preserve">Uses period-end AUA (not average)</t>
  </si>
  <si>
    <t xml:space="preserve">Annualised NC per funded account ($)</t>
  </si>
  <si>
    <t xml:space="preserve">Funded accounts YoY growth</t>
  </si>
  <si>
    <t xml:space="preserve">Annual / LTM</t>
  </si>
  <si>
    <t xml:space="preserve">Prior LTM Q2 25</t>
  </si>
  <si>
    <t xml:space="preserve">YoY growth</t>
  </si>
  <si>
    <t xml:space="preserve">Adj. EBITDA margin</t>
  </si>
  <si>
    <t xml:space="preserve">Net margin</t>
  </si>
  <si>
    <t xml:space="preserve">NC CAGR FY23-FY25</t>
  </si>
  <si>
    <t xml:space="preserve">Adj. EBITDA CAGR FY23-FY25</t>
  </si>
  <si>
    <t xml:space="preserve">NC CAGR FY24-LTM (1.5 yrs)</t>
  </si>
  <si>
    <t xml:space="preserve">LTM NI growth</t>
  </si>
  <si>
    <t xml:space="preserve">LTM adj. EBITDA growth</t>
  </si>
  <si>
    <t xml:space="preserve">STDEVP adj. EBITDA margin, 10 qtrs</t>
  </si>
  <si>
    <t xml:space="preserve">STDEVP adj. EBITDA margin, last 5 qtrs</t>
  </si>
  <si>
    <t xml:space="preserve">Profitable quarters / disclosed quarters</t>
  </si>
  <si>
    <t xml:space="preserve">Cumulative GAAP NI FY23 to H1 26 ($m)</t>
  </si>
  <si>
    <t xml:space="preserve">Total revenues &amp; income growth Q2 26</t>
  </si>
  <si>
    <t xml:space="preserve">Crypto gross revenue growth Q2 26</t>
  </si>
  <si>
    <t xml:space="preserve">Sum of Q2 26 NC components ($m)</t>
  </si>
  <si>
    <t xml:space="preserve">Capital-markets share of Q2 26 NC</t>
  </si>
  <si>
    <t xml:space="preserve">Net interest income share of Q2 26 NC</t>
  </si>
  <si>
    <t xml:space="preserve">Cross-check (recomputed vs stated)</t>
  </si>
  <si>
    <t xml:space="preserve">Recomputed</t>
  </si>
  <si>
    <t xml:space="preserve">Stated</t>
  </si>
  <si>
    <t xml:space="preserve">Diff</t>
  </si>
  <si>
    <t xml:space="preserve">Tolerance</t>
  </si>
  <si>
    <t xml:space="preserve">Result</t>
  </si>
  <si>
    <t xml:space="preserve">Tolerance 2pp on growth/margins because inputs are rounded to $1m in the summaries</t>
  </si>
  <si>
    <t xml:space="preserve">NC growth FY25</t>
  </si>
  <si>
    <t xml:space="preserve">NI growth FY25</t>
  </si>
  <si>
    <t xml:space="preserve">Adj. EBITDA growth FY25</t>
  </si>
  <si>
    <t xml:space="preserve">NC growth Q2 26</t>
  </si>
  <si>
    <t xml:space="preserve">Adj. EBITDA growth Q2 26</t>
  </si>
  <si>
    <t xml:space="preserve">NI growth Q2 26</t>
  </si>
  <si>
    <t xml:space="preserve">NC growth Q1 26</t>
  </si>
  <si>
    <t xml:space="preserve">NI growth Q1 26</t>
  </si>
  <si>
    <t xml:space="preserve">Adj. EBITDA growth Q1 26</t>
  </si>
  <si>
    <t xml:space="preserve">NC growth Q3 25</t>
  </si>
  <si>
    <t xml:space="preserve">Adj. EBITDA growth Q3 25</t>
  </si>
  <si>
    <t xml:space="preserve">NI growth Q3 25</t>
  </si>
  <si>
    <t xml:space="preserve">NC growth Q2 25 (on derived Q2 24)</t>
  </si>
  <si>
    <t xml:space="preserve">Adj. EBITDA growth Q2 25</t>
  </si>
  <si>
    <t xml:space="preserve">NC growth Q1 25</t>
  </si>
  <si>
    <t xml:space="preserve">Funded-account growth Q2 26</t>
  </si>
  <si>
    <t xml:space="preserve">Funded-account growth Q3 25</t>
  </si>
  <si>
    <t xml:space="preserve">AUA growth Q2 26 (vs Q2 25)</t>
  </si>
  <si>
    <t xml:space="preserve">Adj. EBITDA margin Q2 26</t>
  </si>
  <si>
    <t xml:space="preserve">Press 'revenue' growth Q2 26 vs NC growth</t>
  </si>
  <si>
    <t xml:space="preserve">Press 'revenue' growth Q2 26 vs total revenues &amp; income</t>
  </si>
  <si>
    <t xml:space="preserve">Sum of FY25 quarters vs FY25 NC ($m)</t>
  </si>
  <si>
    <t xml:space="preserve">Sum of FY24 EBITDA quarters vs FY24 ($m)</t>
  </si>
  <si>
    <t xml:space="preserve">Sum of FY24 NI quarters vs FY24 ($m)</t>
  </si>
  <si>
    <t xml:space="preserve">Q2 26 NC components vs reported NC ($m)</t>
  </si>
  <si>
    <t xml:space="preserve">Q4 25 derived NC (FY less Q1-Q3) vs stated Q4 NC ($m)</t>
  </si>
  <si>
    <t xml:space="preserve">Q4 25 funded accounts: release (3.85m) vs FY press (3.81m), m</t>
  </si>
  <si>
    <t xml:space="preserve">TradeZero EV/revenue</t>
  </si>
  <si>
    <t xml:space="preserve">Freetrade price / trailing revenue vs '~5x run-rate'</t>
  </si>
  <si>
    <t xml:space="preserve">Swissquote PBT margin H1 26 vs stated 50.2%</t>
  </si>
  <si>
    <t xml:space="preserve">Swissquote market cap: price x shares vs quoted CHF 5.54bn</t>
  </si>
  <si>
    <t xml:space="preserve">eToro market cap: price x 79.53m vs quoted $2.10bn</t>
  </si>
  <si>
    <t xml:space="preserve">eToro diluted shares implied (NI/EPS) vs base 79.53m</t>
  </si>
  <si>
    <t xml:space="preserve">Count of FLAGs</t>
  </si>
  <si>
    <t xml:space="preserve">Count of MATCHes</t>
  </si>
  <si>
    <t xml:space="preserve">Peer benchmark (US$m unless stated). Revenue basis: eToro = net contribution; peers = total revenue / net revenue / operating income as labelled.</t>
  </si>
  <si>
    <t xml:space="preserve">Company</t>
  </si>
  <si>
    <t xml:space="preserve">Scale metric</t>
  </si>
  <si>
    <t xml:space="preserve">Scale (m)</t>
  </si>
  <si>
    <t xml:space="preserve">Client assets ($bn)</t>
  </si>
  <si>
    <t xml:space="preserve">Revenue basis</t>
  </si>
  <si>
    <t xml:space="preserve">Revenue ($m)</t>
  </si>
  <si>
    <t xml:space="preserve">Profit basis</t>
  </si>
  <si>
    <t xml:space="preserve">Profit ($m)</t>
  </si>
  <si>
    <t xml:space="preserve">Net income basis ($m)</t>
  </si>
  <si>
    <t xml:space="preserve">Market cap ($m)</t>
  </si>
  <si>
    <t xml:space="preserve">Corporate cash credited ($m)</t>
  </si>
  <si>
    <t xml:space="preserve">EV ($m)</t>
  </si>
  <si>
    <t xml:space="preserve">EV / Revenue (x)</t>
  </si>
  <si>
    <t xml:space="preserve">Mcap / Revenue (x)</t>
  </si>
  <si>
    <t xml:space="preserve">P/E (x)</t>
  </si>
  <si>
    <t xml:space="preserve">Revenue growth (latest)</t>
  </si>
  <si>
    <t xml:space="preserve">EV/Rev per pt of growth</t>
  </si>
  <si>
    <t xml:space="preserve">Data quality</t>
  </si>
  <si>
    <t xml:space="preserve">eToro (base: 79.53m sh; 50% cash credit)</t>
  </si>
  <si>
    <t xml:space="preserve">Funded accounts</t>
  </si>
  <si>
    <t xml:space="preserve">LTM net contribution</t>
  </si>
  <si>
    <t xml:space="preserve">LTM adj. EBITDA</t>
  </si>
  <si>
    <t xml:space="preserve">Listed/audited (search-summary basis); Q2 26 funded acct = 30 Jun</t>
  </si>
  <si>
    <t xml:space="preserve">IG Group (CONFLICT: requester's employer)</t>
  </si>
  <si>
    <t xml:space="preserve">Active customers</t>
  </si>
  <si>
    <t xml:space="preserve">LTM total revenue</t>
  </si>
  <si>
    <t xml:space="preserve">CY25 EBITDA</t>
  </si>
  <si>
    <t xml:space="preserve">Listed/audited; H1 25 derived from stated growth; P/E on adj EPS</t>
  </si>
  <si>
    <t xml:space="preserve">Plus500</t>
  </si>
  <si>
    <t xml:space="preserve">LTM revenue</t>
  </si>
  <si>
    <t xml:space="preserve">LTM EBITDA</t>
  </si>
  <si>
    <t xml:space="preserve">Listed/audited; NI = FY25; cash at YE25</t>
  </si>
  <si>
    <t xml:space="preserve">Webull</t>
  </si>
  <si>
    <t xml:space="preserve">Q2 26 adj. op profit x4</t>
  </si>
  <si>
    <t xml:space="preserve">Listed/audited; Q2 25 derived; LTM GAAP NI N/D</t>
  </si>
  <si>
    <t xml:space="preserve">XTB</t>
  </si>
  <si>
    <t xml:space="preserve">Active clients</t>
  </si>
  <si>
    <t xml:space="preserve">LTM total operating income</t>
  </si>
  <si>
    <t xml:space="preserve">H1 26 EBITDA x2</t>
  </si>
  <si>
    <t xml:space="preserve">Listed/audited; H1 25 derived; EBITDA annualised from one half</t>
  </si>
  <si>
    <t xml:space="preserve">Trading 212 (private)</t>
  </si>
  <si>
    <t xml:space="preserve">Funded accounts (group, self-rep.)</t>
  </si>
  <si>
    <t xml:space="preserve">FY25 revenue (UK Ltd)</t>
  </si>
  <si>
    <t xml:space="preserve">FY25 PBT (UK Ltd)</t>
  </si>
  <si>
    <t xml:space="preserve">Private: UK entity audited (Companies House); group metrics self-reported; no valuation marker</t>
  </si>
  <si>
    <t xml:space="preserve">Swissquote</t>
  </si>
  <si>
    <t xml:space="preserve">Accounts</t>
  </si>
  <si>
    <t xml:space="preserve">LTM net revenues</t>
  </si>
  <si>
    <t xml:space="preserve">LTM PBT</t>
  </si>
  <si>
    <t xml:space="preserve">Listed/audited; price x 149.88m shares reconciles to quoted cap</t>
  </si>
  <si>
    <t xml:space="preserve">Note: eToro revenue = net contribution (net of crypto cost of sales). Gross 'total revenues &amp; income' ($13.8bn FY25) is not comparable. Its growth rate is shown in cols P/Q.</t>
  </si>
  <si>
    <t xml:space="preserve">eToro growth in col P = H1 26 vs H1 25 net contribution. IG and Plus500 = H1 26 growth; Webull = H1 26 vs H1 25; XTB = H1 26; Trading 212 = FY25; Swissquote = H1 26.</t>
  </si>
  <si>
    <t xml:space="preserve">Rank on scale (funded/active accounts, m): 1 = largest. eToro rank:</t>
  </si>
  <si>
    <t xml:space="preserve">Rank on revenue ($m), eToro:</t>
  </si>
  <si>
    <t xml:space="preserve">Rank on client assets ($bn, of those disclosed), eToro:</t>
  </si>
  <si>
    <t xml:space="preserve">Peer median EV/Revenue or Mcap/Revenue (listed peers ex-eToro)</t>
  </si>
  <si>
    <t xml:space="preserve">Peer median P/E (IG, Plus500, XTB)</t>
  </si>
  <si>
    <t xml:space="preserve">Plus500 EV / LTM EBITDA (closest listed peer)</t>
  </si>
  <si>
    <t xml:space="preserve">IG Mcap / CY25 EBITDA (no cash adj.)</t>
  </si>
  <si>
    <t xml:space="preserve">Moat ratings (analyst inputs; Strong / Moderate / Weak)</t>
  </si>
  <si>
    <t xml:space="preserve">Network effects</t>
  </si>
  <si>
    <t xml:space="preserve">Switching costs</t>
  </si>
  <si>
    <t xml:space="preserve">Scale / cost</t>
  </si>
  <si>
    <t xml:space="preserve">Intangible / regulatory</t>
  </si>
  <si>
    <t xml:space="preserve"># Strong</t>
  </si>
  <si>
    <t xml:space="preserve"># Moderate</t>
  </si>
  <si>
    <t xml:space="preserve">Evidence basis</t>
  </si>
  <si>
    <t xml:space="preserve">eToro</t>
  </si>
  <si>
    <t xml:space="preserve">Moderate</t>
  </si>
  <si>
    <t xml:space="preserve">Weak</t>
  </si>
  <si>
    <t xml:space="preserve">CopyTrader/Popular Investor social graph (self-reported); multi-licence incl. MiCA, ASIC, FCA; no tax-wrapper lock-in at scale</t>
  </si>
  <si>
    <t xml:space="preserve">IG Group</t>
  </si>
  <si>
    <t xml:space="preserve">ISA/SIPP via Freetrade; long-established brand (founded 1974); audited</t>
  </si>
  <si>
    <t xml:space="preserve">Proprietary tech, 41% EBITDA margin; US futures business (non-OTC &gt;$100m revenue FY25); audited</t>
  </si>
  <si>
    <t xml:space="preserve">US broker-dealer; EEA licence; audited</t>
  </si>
  <si>
    <t xml:space="preserve">Scale economics shown by 58% EBITDA margin H1 26; audited</t>
  </si>
  <si>
    <t xml:space="preserve">Trading 212</t>
  </si>
  <si>
    <t xml:space="preserve">ISA/SIPP wrappers in UK; low-cost model; group metrics self-reported</t>
  </si>
  <si>
    <t xml:space="preserve">Swiss banking licence; custody franchise; audited</t>
  </si>
  <si>
    <t xml:space="preserve">Sector count of 'Strong' ratings (all firms, all categories)</t>
  </si>
  <si>
    <t xml:space="preserve">eToro valuation: EV range, M&amp;A cross-checks, bull/base/bear (US$m unless stated)</t>
  </si>
  <si>
    <t xml:space="preserve">EV range: share count x cash credit</t>
  </si>
  <si>
    <t xml:space="preserve">Basic 79.53m</t>
  </si>
  <si>
    <t xml:space="preserve">Basic 82.85m (20-F)</t>
  </si>
  <si>
    <t xml:space="preserve">Diluted (NI/EPS)</t>
  </si>
  <si>
    <t xml:space="preserve">Shares (m)</t>
  </si>
  <si>
    <t xml:space="preserve">70.04m cover figure rejected (does not reconcile with 20-F Cl B)</t>
  </si>
  <si>
    <t xml:space="preserve">Market cap at $26.40</t>
  </si>
  <si>
    <t xml:space="preserve">EV, case A: 100% cash credit</t>
  </si>
  <si>
    <t xml:space="preserve">Cash split corporate vs regulatory N/D; debt assumed nil</t>
  </si>
  <si>
    <t xml:space="preserve">EV, case B: 50% cash credit (central)</t>
  </si>
  <si>
    <t xml:space="preserve">EV, case C: 0% cash credit</t>
  </si>
  <si>
    <t xml:space="preserve">EV / LTM NC, case A</t>
  </si>
  <si>
    <t xml:space="preserve">EV / LTM NC, case B</t>
  </si>
  <si>
    <t xml:space="preserve">EV / LTM NC, case C</t>
  </si>
  <si>
    <t xml:space="preserve">EV / LTM adj. EBITDA, case A</t>
  </si>
  <si>
    <t xml:space="preserve">EV / LTM adj. EBITDA, case B</t>
  </si>
  <si>
    <t xml:space="preserve">EV / LTM adj. EBITDA, case C</t>
  </si>
  <si>
    <t xml:space="preserve">P/E on LTM GAAP NI</t>
  </si>
  <si>
    <t xml:space="preserve">EV per funded account ($), case B</t>
  </si>
  <si>
    <t xml:space="preserve">Share price vs IPO price</t>
  </si>
  <si>
    <t xml:space="preserve">Market cap vs 2023 round ($3.5bn)</t>
  </si>
  <si>
    <t xml:space="preserve">Market cap vs SPAC valuation</t>
  </si>
  <si>
    <t xml:space="preserve">Growth-adjusted and peer cross-check</t>
  </si>
  <si>
    <t xml:space="preserve">eToro (B, 79.53m)</t>
  </si>
  <si>
    <t xml:space="preserve">EV / LTM revenue</t>
  </si>
  <si>
    <t xml:space="preserve">EV / LTM EBITDA</t>
  </si>
  <si>
    <t xml:space="preserve">Revenue growth (H1 26)</t>
  </si>
  <si>
    <t xml:space="preserve">EV/Revenue / growth (pts)</t>
  </si>
  <si>
    <t xml:space="preserve">EV/EBITDA / growth (pts)</t>
  </si>
  <si>
    <t xml:space="preserve">eToro discount to Plus500 on EV/EBITDA</t>
  </si>
  <si>
    <t xml:space="preserve">eToro case C (0% cash) EV/EBITDA vs Plus500</t>
  </si>
  <si>
    <t xml:space="preserve">P/E: eToro vs peer median (IG, Plus500, XTB)</t>
  </si>
  <si>
    <t xml:space="preserve">Freetrade (IG)</t>
  </si>
  <si>
    <t xml:space="preserve">Saxo (JSS)</t>
  </si>
  <si>
    <t xml:space="preserve">TradeZero (eToro, pending)</t>
  </si>
  <si>
    <t xml:space="preserve">eToro today (B)</t>
  </si>
  <si>
    <t xml:space="preserve">Implied 100% value ($m)</t>
  </si>
  <si>
    <t xml:space="preserve">Value / revenue (x)</t>
  </si>
  <si>
    <t xml:space="preserve">Value / net profit (x)</t>
  </si>
  <si>
    <t xml:space="preserve">n.m.</t>
  </si>
  <si>
    <t xml:space="preserve">Value per customer / funded account ($)</t>
  </si>
  <si>
    <t xml:space="preserve">Value / client assets</t>
  </si>
  <si>
    <t xml:space="preserve">Share of client assets (%)</t>
  </si>
  <si>
    <t xml:space="preserve">eToro implied at Freetrade $/customer x 4.28m funded ($m)</t>
  </si>
  <si>
    <t xml:space="preserve">eToro implied at Saxo P/E x LTM NI ($m equity)</t>
  </si>
  <si>
    <t xml:space="preserve">TradeZero share consideration at today's price ($m)</t>
  </si>
  <si>
    <t xml:space="preserve">TradeZero multiple vs eToro's own EV/NC (case B)</t>
  </si>
  <si>
    <t xml:space="preserve">Scenarios (12-month forward from LTM Q2 26)</t>
  </si>
  <si>
    <t xml:space="preserve">Bear</t>
  </si>
  <si>
    <t xml:space="preserve">Base</t>
  </si>
  <si>
    <t xml:space="preserve">Bull</t>
  </si>
  <si>
    <t xml:space="preserve">LTM net contribution ($m)</t>
  </si>
  <si>
    <t xml:space="preserve">NTM NC growth</t>
  </si>
  <si>
    <t xml:space="preserve">Bear: crypto/volatility slump. Base: FY25-like growth. Bull: H1 26 pace sustained</t>
  </si>
  <si>
    <t xml:space="preserve">LTM margin ~38%; range 33-43% over 10 qtrs</t>
  </si>
  <si>
    <t xml:space="preserve">Exit EV / adj. EBITDA (x)</t>
  </si>
  <si>
    <t xml:space="preserve">Plus500 ~7x EV/EBITDA; IG ~8x mcap/EBITDA</t>
  </si>
  <si>
    <t xml:space="preserve">Cash credit (% of $1.2bn)</t>
  </si>
  <si>
    <t xml:space="preserve">Unresolved cash definition drives the range</t>
  </si>
  <si>
    <t xml:space="preserve">NTM NC ($m)</t>
  </si>
  <si>
    <t xml:space="preserve">NTM adj. EBITDA ($m)</t>
  </si>
  <si>
    <t xml:space="preserve">Implied EV ($m)</t>
  </si>
  <si>
    <t xml:space="preserve">TradeZero not modelled (pending; up to $231m)</t>
  </si>
  <si>
    <t xml:space="preserve">Implied equity ($m)</t>
  </si>
  <si>
    <t xml:space="preserve">Implied value per share ($)</t>
  </si>
  <si>
    <t xml:space="preserve">Return vs $26.40</t>
  </si>
  <si>
    <t xml:space="preserve">Probability weight</t>
  </si>
  <si>
    <t xml:space="preserve">Probability-weighted value per share ($)</t>
  </si>
  <si>
    <t xml:space="preserve">Probability-weighted return</t>
  </si>
  <si>
    <t xml:space="preserve">Sheet!Ref</t>
  </si>
  <si>
    <t xml:space="preserve">Severity</t>
  </si>
  <si>
    <t xml:space="preserve">Category</t>
  </si>
  <si>
    <t xml:space="preserve">Issue</t>
  </si>
  <si>
    <t xml:space="preserve">Suggested fix</t>
  </si>
  <si>
    <t xml:space="preserve">README!A15</t>
  </si>
  <si>
    <t xml:space="preserve">Critical</t>
  </si>
  <si>
    <t xml:space="preserve">Data access</t>
  </si>
  <si>
    <t xml:space="preserve">WebFetch was blocked by the egress proxy for all primary sources (investors.etoro.com, sec.gov, globenewswire). Every figure comes from search-engine summaries of those URLs.</t>
  </si>
  <si>
    <t xml:space="preserve">Re-verify every blue input against the 20-F and 6-K filings before any external use.</t>
  </si>
  <si>
    <t xml:space="preserve">Inputs!CASH_ETOR / Valuation &amp; Scenarios!B6:D8</t>
  </si>
  <si>
    <t xml:space="preserve">Valuation</t>
  </si>
  <si>
    <t xml:space="preserve">The $1.2bn 'cash, cash equivalents &amp; short-term investments' has no disclosed split between free corporate cash and regulatory capital. EV swings from $0.90bn to $2.10bn (base share count) on this alone.</t>
  </si>
  <si>
    <t xml:space="preserve">Obtain entity-level regulatory capital requirements from the 20-F / Pillar 3 disclosures. Until then, use the case B central view and show the range.</t>
  </si>
  <si>
    <t xml:space="preserve">Inputs!SH_* / Valuation &amp; Scenarios!B4:D4</t>
  </si>
  <si>
    <t xml:space="preserve">Warning</t>
  </si>
  <si>
    <t xml:space="preserve">Capital structure</t>
  </si>
  <si>
    <t xml:space="preserve">Share count conflicts: 70.04m (Feb 26 cover), 82.85m (20-F YE25: 68.65m A + 14.20m B), 79.53m (aggregator), ~91.4m diluted (Q2 NI $53m / EPS $0.58). Market cap ranges $2.10bn to $2.41bn.</t>
  </si>
  <si>
    <t xml:space="preserve">Take the basic count from the Q2 26 6-K. The 70.04m figure is rejected because it cannot be reconciled to the 20-F Class B count.</t>
  </si>
  <si>
    <t xml:space="preserve">Historical Build &amp; Ratios!B37</t>
  </si>
  <si>
    <t xml:space="preserve">Reporting / definitions</t>
  </si>
  <si>
    <t xml:space="preserve">Three incompatible Q2 26 'revenue' growth rates circulate: NC +9%, total revenues &amp; income -24%, and FX News Group's 'revenues fall 11%'. The -11% ties to neither.</t>
  </si>
  <si>
    <t xml:space="preserve">Use net contribution as the only comparable top line. Treat gross crypto revenue (94% of FY25 total revenues) as a pass-through.</t>
  </si>
  <si>
    <t xml:space="preserve">Inputs!CRYPTO_Q2_25</t>
  </si>
  <si>
    <t xml:space="preserve">Info</t>
  </si>
  <si>
    <t xml:space="preserve">Press error</t>
  </si>
  <si>
    <t xml:space="preserve">CoinDesk headline says crypto revenue 'dropped 120%'. That is impossible; the recomputed decline is -29%.</t>
  </si>
  <si>
    <t xml:space="preserve">Disregard the headline percentage.</t>
  </si>
  <si>
    <t xml:space="preserve">Historical Build &amp; Ratios!F72</t>
  </si>
  <si>
    <t xml:space="preserve">Internal inconsistency</t>
  </si>
  <si>
    <t xml:space="preserve">Q4 25 funded accounts are stated as 3.85m in the Q4 release and 3.81m in the FY25 press coverage.</t>
  </si>
  <si>
    <t xml:space="preserve">Confirm in the 20-F. The build uses 3.85m.</t>
  </si>
  <si>
    <t xml:space="preserve">Inputs!FA_Aug26</t>
  </si>
  <si>
    <t xml:space="preserve">Unexplained flat-line</t>
  </si>
  <si>
    <t xml:space="preserve">August 2026 funded accounts (4.28m) are identical to 30 June. AUA growth slowed to +3% YoY in August from +10% in June.</t>
  </si>
  <si>
    <t xml:space="preserve">Check the monthly metrics release. Treat Q3 26 account growth as unproven.</t>
  </si>
  <si>
    <t xml:space="preserve">Historical Build &amp; Ratios!K11</t>
  </si>
  <si>
    <t xml:space="preserve">Unexplained inflection</t>
  </si>
  <si>
    <t xml:space="preserve">Adj. EBITDA growth fell from +35% (Q1 26) to +9% (Q2 26). Q1 was boosted by a ~4x surge in commodities volumes, and management plans to raise marketing to 25% of NC by YE26.</t>
  </si>
  <si>
    <t xml:space="preserve">Model margins at 33-38%, not at the Q1 peak.</t>
  </si>
  <si>
    <t xml:space="preserve">Historical Build &amp; Ratios!K12</t>
  </si>
  <si>
    <t xml:space="preserve">Base effect</t>
  </si>
  <si>
    <t xml:space="preserve">Q2 26 NI growth of +77% flatters: the Q2 25 base ($30.2m) included $15m of IPO costs. On an ex-IPO-cost base, growth is ~+17%.</t>
  </si>
  <si>
    <t xml:space="preserve">Present NI growth ex one-offs.</t>
  </si>
  <si>
    <t xml:space="preserve">Historical Build &amp; Ratios!B4 / B22</t>
  </si>
  <si>
    <t xml:space="preserve">Derived data</t>
  </si>
  <si>
    <t xml:space="preserve">Q2 24 NC, Q4 25 adj EBITDA and Q4 25 NI are derived (FY less other quarters), not disclosed. FY23 NC ($639m) is described in the press as 'revenue (total fees)'.</t>
  </si>
  <si>
    <t xml:space="preserve">Replace with disclosed figures from the F-1 / 20-F.</t>
  </si>
  <si>
    <t xml:space="preserve">Historical Build &amp; Ratios!B13:K13</t>
  </si>
  <si>
    <t xml:space="preserve">Non-statutory measures</t>
  </si>
  <si>
    <t xml:space="preserve">Adj. EBITDA and net contribution are non-GAAP. The GAAP equivalent of NC (total revenues &amp; income) is dominated by gross crypto sales.</t>
  </si>
  <si>
    <t xml:space="preserve">Anchor profitability tests on GAAP NI where possible (done in the Scorecard).</t>
  </si>
  <si>
    <t xml:space="preserve">Historical Build &amp; Ratios!B40</t>
  </si>
  <si>
    <t xml:space="preserve">Cyclicality</t>
  </si>
  <si>
    <t xml:space="preserve">Earnings mix swings with retail activity: crypto went from 50% of trading commission (Q4 24) to 11% (Q2 26); commodities were 60% in Q1 26 and equities 60% in Q2 26. NII ($49m, 21% of NC) is rate-sensitive.</t>
  </si>
  <si>
    <t xml:space="preserve">Stress NC against a low-volatility, falling-rate scenario (bear case).</t>
  </si>
  <si>
    <t xml:space="preserve">Inputs!TZ_PRICE</t>
  </si>
  <si>
    <t xml:space="preserve">Inorganic growth / capital allocation</t>
  </si>
  <si>
    <t xml:space="preserve">TradeZero (up to $231m, 2.9x revenue) is priced above eToro's own EV/NC (0.97-2.26x) and is part-paid in up to 2.5m eToro shares. It follows a $50m ASR in Feb 26. It needs regulatory approval (close H1 27).</t>
  </si>
  <si>
    <t xml:space="preserve">Strip TradeZero from organic growth post-close. Test the accretion claim once terms are final.</t>
  </si>
  <si>
    <t xml:space="preserve">Inputs!SPACESHIP_CLIENTS</t>
  </si>
  <si>
    <t xml:space="preserve">Inorganic growth</t>
  </si>
  <si>
    <t xml:space="preserve">Spaceship (Australia, up to A$80m, &gt;200k clients, A$1.5bn FUM) was acquired 2024-25. Its contribution to funded accounts is not disclosed. Upper bound: ~19% of funded-account growth from Q3 24 to Q2 26 (0.20m / 1.07m).</t>
  </si>
  <si>
    <t xml:space="preserve">Ask for an organic funded-account bridge.</t>
  </si>
  <si>
    <t xml:space="preserve">Inputs!INITIATIVES</t>
  </si>
  <si>
    <t xml:space="preserve">Execution load</t>
  </si>
  <si>
    <t xml:space="preserve">Eight concurrent initiatives: TradeZero/US expansion; new AI-first app migration (from 4 Oct 26); tokenised stocks and 24/5 trading; futures and US commodities access; marketing ramp to 25% of NC; eToro Money; AI agent portfolios (Tori); ASIC DDO litigation. Headcount is ~1,500 after a 7% cut (Jan 26).</t>
  </si>
  <si>
    <t xml:space="preserve">Track the delivery milestones. The execution risk is flagged in the thesis.</t>
  </si>
  <si>
    <t xml:space="preserve">n/a</t>
  </si>
  <si>
    <t xml:space="preserve">Regulatory</t>
  </si>
  <si>
    <t xml:space="preserve">ASIC v eToro Aus Capital (DDO, CFD target market; ~20,000 clients lost money 2021-23): no outcome found. Penalty exposure N/D.</t>
  </si>
  <si>
    <t xml:space="preserve">Monitor the Federal Court judgment. Relevant to eToro's Australian CFD book.</t>
  </si>
  <si>
    <t xml:space="preserve">Market sizing</t>
  </si>
  <si>
    <t xml:space="preserve">Third-party 'online trading platform market' 2025 estimates of $10.8-12.3bn (plus one outlier at $46.7bn) are templated and sit below the combined revenue of a handful of listed brokers. The TAM could not be independently corroborated.</t>
  </si>
  <si>
    <t xml:space="preserve">Do not rely on any TAM claim. Use peer revenue pools instead.</t>
  </si>
  <si>
    <t xml:space="preserve">Historical Build &amp; Ratios!F74</t>
  </si>
  <si>
    <t xml:space="preserve">Press inconsistency</t>
  </si>
  <si>
    <t xml:space="preserve">Freetrade deal: the press says '~5x run-rate revenue'. Recomputed on 2024 revenue it is 5.8x. One aggregator reports Freetrade adj EBITDA as '£2.1bn', an obvious unit error (~£2.1m).</t>
  </si>
  <si>
    <t xml:space="preserve">Use the recomputed trailing multiple.</t>
  </si>
  <si>
    <t xml:space="preserve">Historical Build &amp; Ratios!F75</t>
  </si>
  <si>
    <t xml:space="preserve">Peer data</t>
  </si>
  <si>
    <t xml:space="preserve">Swissquote stated PBT margin 50.2% does not tie to PBT/net revenues (42.2%). A different denominator is likely. The market cap was reconciled: CHF 36.98 x 149.88m = CHF 5.54bn.</t>
  </si>
  <si>
    <t xml:space="preserve">Use the recomputed margin.</t>
  </si>
  <si>
    <t xml:space="preserve">Peer Benchmark!C9</t>
  </si>
  <si>
    <t xml:space="preserve">Trading 212 financials are for Trading 212 UK Ltd only. Group funded accounts (4.5m) and client assets are self-reported. Profit growth is described as both 'doubles' and 'nearly triples' (recomputed 2.3x).</t>
  </si>
  <si>
    <t xml:space="preserve">Treat as a lower bound for the group.</t>
  </si>
  <si>
    <t xml:space="preserve">Peer Benchmark!A5</t>
  </si>
  <si>
    <t xml:space="preserve">Governance / conflict</t>
  </si>
  <si>
    <t xml:space="preserve">The requester works in IG Group Finance. IG is a direct competitor and is benchmarked here. IG itself is mid-transaction (Underdog, EV ~$1.1bn + $200m earnout; redomicile).</t>
  </si>
  <si>
    <t xml:space="preserve">Disclose the conflict. IG is excluded from the growth matrix. The conclusions should be reviewed by someone independent of IG strategy.</t>
  </si>
  <si>
    <t xml:space="preserve">Historical Build &amp; Ratios!F57</t>
  </si>
  <si>
    <t xml:space="preserve">Rounding</t>
  </si>
  <si>
    <t xml:space="preserve">Several stated growth rates differ from the recomputed ones by 1-2pp because the summaries round figures to $1m (e.g. Q3 25 NI +46% recomputed vs +48% stated).</t>
  </si>
  <si>
    <t xml:space="preserve">Tolerance set at 2pp. Anything beyond that is FLAG.</t>
  </si>
  <si>
    <t xml:space="preserve">Valuation &amp; Scenarios!B51</t>
  </si>
  <si>
    <t xml:space="preserve">Model limitation</t>
  </si>
  <si>
    <t xml:space="preserve">Scenarios use a single 12-month forward step and an exit EV/EBITDA multiple. TradeZero, buybacks and dilution from options are not modelled.</t>
  </si>
  <si>
    <t xml:space="preserve">Extend to a 3-year build if the view moves toward action.</t>
  </si>
  <si>
    <t xml:space="preserve">Historical Build &amp; Ratios!B16:K16</t>
  </si>
  <si>
    <t xml:space="preserve">The take-rate uses period-end AUA, not average AUA, and is only available for 5 quarters.</t>
  </si>
  <si>
    <t xml:space="preserve">Replace with average AUA from the filings.</t>
  </si>
  <si>
    <t xml:space="preserve">Earnings-durability scorecard: one investor's published framework (Warren Buffett's shareholder letters). Not a claim about what Buffett would conclude.</t>
  </si>
  <si>
    <t xml:space="preserve">Test</t>
  </si>
  <si>
    <t xml:space="preserve">Secondary value</t>
  </si>
  <si>
    <t xml:space="preserve">PASS / CAUTION thresholds</t>
  </si>
  <si>
    <t xml:space="preserve">Verdict</t>
  </si>
  <si>
    <t xml:space="preserve">Evidence / comment</t>
  </si>
  <si>
    <t xml:space="preserve">Consistent operating history</t>
  </si>
  <si>
    <t xml:space="preserve">Profitable quarters / disclosed quarters (secondary = # quarters)</t>
  </si>
  <si>
    <t xml:space="preserve">PASS &gt;= 90% over &gt;= 12 qtrs; CAUTION if &lt;12 qtrs; FAIL &lt; 75%</t>
  </si>
  <si>
    <t xml:space="preserve">Profitable in 10 of 10 disclosed quarters, but the disclosed history is short (FY23 NI only $15.3m; pre-2023 N/D; failed SPAC period).</t>
  </si>
  <si>
    <t xml:space="preserve">Stable, predictable margins</t>
  </si>
  <si>
    <t xml:space="preserve">STDEVP adj. EBITDA margin: full 10 qtrs (secondary = last 5)</t>
  </si>
  <si>
    <t xml:space="preserve">PASS &lt; 3pp; CAUTION 3-6pp; FAIL &gt; 6pp (on the higher of the two)</t>
  </si>
  <si>
    <t xml:space="preserve">Margins ranged 33-43% on NC. Swings track retail volume regimes (crypto Q4 24, commodities Q1 26).</t>
  </si>
  <si>
    <t xml:space="preserve">Self-funded growth</t>
  </si>
  <si>
    <t xml:space="preserve">Cumulative GAAP NI FY23-H1 26 / external capital raised since 2023 (2023 round + IPO primary)</t>
  </si>
  <si>
    <t xml:space="preserve">PASS &gt;= 1.5x; CAUTION 0.75-1.5x; FAIL &lt; 0.75x</t>
  </si>
  <si>
    <t xml:space="preserve">Earnings since 2023 roughly equal the capital raised since 2023. Pre-2023 raises N/D. A $50m buyback in Feb 26 is a positive offset.</t>
  </si>
  <si>
    <t xml:space="preserve">Organic compounding</t>
  </si>
  <si>
    <t xml:space="preserve">Upper-bound acquired share of funded-account growth, Q3 24-Q2 26 (Spaceship clients / account growth)</t>
  </si>
  <si>
    <t xml:space="preserve">PASS &lt; 10%; CAUTION 10-30%; FAIL &gt; 30%</t>
  </si>
  <si>
    <t xml:space="preserve">The Spaceship (AU) contribution is undisclosed, so an upper bound is used. TradeZero (pending) would add inorganic US accounts from H1 27.</t>
  </si>
  <si>
    <t xml:space="preserve">Durable, behavioural moat</t>
  </si>
  <si>
    <t xml:space="preserve"># 'Strong' moat ratings for eToro (secondary = # Moderate)</t>
  </si>
  <si>
    <t xml:space="preserve">PASS &gt;= 2 Strong; CAUTION 1 Strong or &gt;= 2 Moderate; else FAIL</t>
  </si>
  <si>
    <t xml:space="preserve">No Strong rating for eToro, or for anyone in the sector. The social/copy network effect rests on self-reported engagement data.</t>
  </si>
  <si>
    <t xml:space="preserve">Rational, aligned management</t>
  </si>
  <si>
    <t xml:space="preserve">CEO voting power (secondary = # reversed decisions)</t>
  </si>
  <si>
    <t xml:space="preserve">PASS &gt;= 10% and 0 reversals; CAUTION &gt;= 5%; else FAIL</t>
  </si>
  <si>
    <t xml:space="preserve">Founder CEO holds 9.3% of votes. SPAC at $10.4bn abandoned in 2022. Buyback at ~$30 then share-funded TradeZero at 2.9x revenue, above eToro's own multiple.</t>
  </si>
  <si>
    <t xml:space="preserve">Simple, predictable business</t>
  </si>
  <si>
    <t xml:space="preserve">Count of concurrent forward initiatives</t>
  </si>
  <si>
    <t xml:space="preserve">PASS &lt;= 3; CAUTION 4-5; FAIL &gt;= 6</t>
  </si>
  <si>
    <t xml:space="preserve">TradeZero/US; app migration; tokenisation/24-5; futures &amp; US commodities; marketing ramp; eToro Money; AI agents; ASIC litigation.</t>
  </si>
  <si>
    <t xml:space="preserve">Wonderful company at a fair price</t>
  </si>
  <si>
    <t xml:space="preserve">EV/LTM adj. EBITDA, case B, vs Plus500 (secondary = case C, 0% cash)</t>
  </si>
  <si>
    <t xml:space="preserve">PASS &lt; 0.8x of peer; CAUTION 0.8-1.1x; FAIL &gt; 1.1x</t>
  </si>
  <si>
    <t xml:space="preserve">Price test passes even with zero cash credit, but on the growth-adjusted view the discount is smaller. It is a fair price for a cyclical business, not proof of a wonderful company.</t>
  </si>
  <si>
    <t xml:space="preserve">Tally</t>
  </si>
  <si>
    <t xml:space="preserve">PASS</t>
  </si>
  <si>
    <t xml:space="preserve">CAUTION</t>
  </si>
  <si>
    <t xml:space="preserve">FAIL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</si>
</sst>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"/>
    <numFmt numFmtId="166" formatCode="#,##0.00"/>
    <numFmt numFmtId="167" formatCode="0.0%;\(0.0%\);\-"/>
    <numFmt numFmtId="168" formatCode="#,##0.0;\(#,##0.0\);\-"/>
    <numFmt numFmtId="169" formatCode="#,##0.00;\(#,##0.00\);\-"/>
    <numFmt numFmtId="170" formatCode="0"/>
    <numFmt numFmtId="171" formatCode="0.00%"/>
    <numFmt numFmtId="172" formatCode="#,##0;\(#,##0\);\-"/>
    <numFmt numFmtId="173" formatCode="0.00\x"/>
    <numFmt numFmtId="174" formatCode="0.0\x"/>
    <numFmt numFmtId="175" formatCode="0.000\x"/>
    <numFmt numFmtId="176" formatCode="0.0%"/>
    <numFmt numFmtId="177" formatCode="\$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A5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7ECF2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C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2.3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22.3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70"/>
    <col collapsed="false" customWidth="true" hidden="false" outlineLevel="0" max="7" min="7" style="0" width="6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4" t="s">
        <v>20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</row>
    <row r="4" customFormat="false" ht="15" hidden="false" customHeight="false" outlineLevel="0" collapsed="false">
      <c r="A4" s="7" t="s">
        <v>29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9" t="s">
        <v>30</v>
      </c>
      <c r="B5" s="9" t="s">
        <v>31</v>
      </c>
      <c r="C5" s="10" t="n">
        <v>201</v>
      </c>
      <c r="D5" s="9" t="s">
        <v>32</v>
      </c>
      <c r="E5" s="9" t="s">
        <v>33</v>
      </c>
      <c r="F5" s="9" t="s">
        <v>34</v>
      </c>
      <c r="G5" s="9" t="s">
        <v>35</v>
      </c>
      <c r="H5" s="9"/>
    </row>
    <row r="6" customFormat="false" ht="15" hidden="false" customHeight="false" outlineLevel="0" collapsed="false">
      <c r="A6" s="9" t="s">
        <v>36</v>
      </c>
      <c r="B6" s="9" t="s">
        <v>37</v>
      </c>
      <c r="C6" s="10" t="n">
        <v>167</v>
      </c>
      <c r="D6" s="9" t="s">
        <v>32</v>
      </c>
      <c r="E6" s="9" t="s">
        <v>38</v>
      </c>
      <c r="F6" s="9" t="s">
        <v>39</v>
      </c>
      <c r="G6" s="9" t="s">
        <v>35</v>
      </c>
      <c r="H6" s="9"/>
    </row>
    <row r="7" customFormat="false" ht="15" hidden="false" customHeight="false" outlineLevel="0" collapsed="false">
      <c r="A7" s="9" t="s">
        <v>40</v>
      </c>
      <c r="B7" s="9" t="s">
        <v>41</v>
      </c>
      <c r="C7" s="10" t="n">
        <v>253</v>
      </c>
      <c r="D7" s="9" t="s">
        <v>32</v>
      </c>
      <c r="E7" s="9" t="s">
        <v>42</v>
      </c>
      <c r="F7" s="9" t="s">
        <v>43</v>
      </c>
      <c r="G7" s="9" t="s">
        <v>35</v>
      </c>
      <c r="H7" s="9"/>
    </row>
    <row r="8" customFormat="false" ht="15" hidden="false" customHeight="false" outlineLevel="0" collapsed="false">
      <c r="A8" s="9" t="s">
        <v>44</v>
      </c>
      <c r="B8" s="9" t="s">
        <v>45</v>
      </c>
      <c r="C8" s="10" t="n">
        <v>217</v>
      </c>
      <c r="D8" s="9" t="s">
        <v>32</v>
      </c>
      <c r="E8" s="9" t="s">
        <v>46</v>
      </c>
      <c r="F8" s="9" t="s">
        <v>34</v>
      </c>
      <c r="G8" s="9" t="s">
        <v>35</v>
      </c>
      <c r="H8" s="9"/>
    </row>
    <row r="9" customFormat="false" ht="15" hidden="false" customHeight="false" outlineLevel="0" collapsed="false">
      <c r="A9" s="9" t="s">
        <v>47</v>
      </c>
      <c r="B9" s="9" t="s">
        <v>48</v>
      </c>
      <c r="C9" s="10" t="n">
        <v>210</v>
      </c>
      <c r="D9" s="9" t="s">
        <v>32</v>
      </c>
      <c r="E9" s="9" t="s">
        <v>49</v>
      </c>
      <c r="F9" s="9" t="s">
        <v>50</v>
      </c>
      <c r="G9" s="9" t="s">
        <v>35</v>
      </c>
      <c r="H9" s="9"/>
    </row>
    <row r="10" customFormat="false" ht="15" hidden="false" customHeight="false" outlineLevel="0" collapsed="false">
      <c r="A10" s="9" t="s">
        <v>51</v>
      </c>
      <c r="B10" s="9" t="s">
        <v>52</v>
      </c>
      <c r="C10" s="10" t="n">
        <v>215</v>
      </c>
      <c r="D10" s="9" t="s">
        <v>32</v>
      </c>
      <c r="E10" s="9" t="s">
        <v>53</v>
      </c>
      <c r="F10" s="9" t="s">
        <v>39</v>
      </c>
      <c r="G10" s="9" t="s">
        <v>35</v>
      </c>
      <c r="H10" s="9"/>
    </row>
    <row r="11" customFormat="false" ht="15" hidden="false" customHeight="false" outlineLevel="0" collapsed="false">
      <c r="A11" s="9" t="s">
        <v>54</v>
      </c>
      <c r="B11" s="9" t="s">
        <v>55</v>
      </c>
      <c r="C11" s="10" t="n">
        <v>227</v>
      </c>
      <c r="D11" s="9" t="s">
        <v>32</v>
      </c>
      <c r="E11" s="9" t="s">
        <v>56</v>
      </c>
      <c r="F11" s="9" t="s">
        <v>43</v>
      </c>
      <c r="G11" s="9" t="s">
        <v>35</v>
      </c>
      <c r="H11" s="9"/>
    </row>
    <row r="12" customFormat="false" ht="15" hidden="false" customHeight="false" outlineLevel="0" collapsed="false">
      <c r="A12" s="9" t="s">
        <v>57</v>
      </c>
      <c r="B12" s="9" t="s">
        <v>58</v>
      </c>
      <c r="C12" s="10" t="n">
        <v>258</v>
      </c>
      <c r="D12" s="9" t="s">
        <v>32</v>
      </c>
      <c r="E12" s="9" t="s">
        <v>59</v>
      </c>
      <c r="F12" s="9" t="s">
        <v>60</v>
      </c>
      <c r="G12" s="9" t="s">
        <v>35</v>
      </c>
      <c r="H12" s="9"/>
    </row>
    <row r="13" customFormat="false" ht="15" hidden="false" customHeight="false" outlineLevel="0" collapsed="false">
      <c r="A13" s="9" t="s">
        <v>61</v>
      </c>
      <c r="B13" s="9" t="s">
        <v>62</v>
      </c>
      <c r="C13" s="10" t="n">
        <v>229</v>
      </c>
      <c r="D13" s="9" t="s">
        <v>32</v>
      </c>
      <c r="E13" s="9" t="s">
        <v>63</v>
      </c>
      <c r="F13" s="9" t="s">
        <v>64</v>
      </c>
      <c r="G13" s="9" t="s">
        <v>35</v>
      </c>
      <c r="H13" s="9"/>
    </row>
    <row r="14" customFormat="false" ht="15" hidden="false" customHeight="false" outlineLevel="0" collapsed="false">
      <c r="A14" s="9" t="s">
        <v>65</v>
      </c>
      <c r="B14" s="9" t="s">
        <v>66</v>
      </c>
      <c r="C14" s="10" t="n">
        <v>87</v>
      </c>
      <c r="D14" s="9" t="s">
        <v>32</v>
      </c>
      <c r="E14" s="9" t="s">
        <v>33</v>
      </c>
      <c r="F14" s="9" t="s">
        <v>34</v>
      </c>
      <c r="G14" s="9" t="s">
        <v>35</v>
      </c>
      <c r="H14" s="9"/>
    </row>
    <row r="15" customFormat="false" ht="15" hidden="false" customHeight="false" outlineLevel="0" collapsed="false">
      <c r="A15" s="9" t="s">
        <v>67</v>
      </c>
      <c r="B15" s="9" t="s">
        <v>68</v>
      </c>
      <c r="C15" s="10" t="n">
        <v>55</v>
      </c>
      <c r="D15" s="9" t="s">
        <v>32</v>
      </c>
      <c r="E15" s="9" t="s">
        <v>69</v>
      </c>
      <c r="F15" s="9" t="s">
        <v>50</v>
      </c>
      <c r="G15" s="9" t="s">
        <v>35</v>
      </c>
      <c r="H15" s="9"/>
    </row>
    <row r="16" customFormat="false" ht="15" hidden="false" customHeight="false" outlineLevel="0" collapsed="false">
      <c r="A16" s="9" t="s">
        <v>70</v>
      </c>
      <c r="B16" s="9" t="s">
        <v>71</v>
      </c>
      <c r="C16" s="10" t="n">
        <v>55</v>
      </c>
      <c r="D16" s="9" t="s">
        <v>32</v>
      </c>
      <c r="E16" s="9" t="s">
        <v>38</v>
      </c>
      <c r="F16" s="9" t="s">
        <v>39</v>
      </c>
      <c r="G16" s="9" t="s">
        <v>35</v>
      </c>
      <c r="H16" s="9"/>
    </row>
    <row r="17" customFormat="false" ht="15" hidden="false" customHeight="false" outlineLevel="0" collapsed="false">
      <c r="A17" s="9" t="s">
        <v>72</v>
      </c>
      <c r="B17" s="9" t="s">
        <v>73</v>
      </c>
      <c r="C17" s="10" t="n">
        <v>108</v>
      </c>
      <c r="D17" s="9" t="s">
        <v>32</v>
      </c>
      <c r="E17" s="9" t="s">
        <v>42</v>
      </c>
      <c r="F17" s="9" t="s">
        <v>43</v>
      </c>
      <c r="G17" s="9" t="s">
        <v>35</v>
      </c>
      <c r="H17" s="9"/>
    </row>
    <row r="18" customFormat="false" ht="15" hidden="false" customHeight="false" outlineLevel="0" collapsed="false">
      <c r="A18" s="9" t="s">
        <v>74</v>
      </c>
      <c r="B18" s="9" t="s">
        <v>75</v>
      </c>
      <c r="C18" s="10" t="n">
        <v>80</v>
      </c>
      <c r="D18" s="9" t="s">
        <v>32</v>
      </c>
      <c r="E18" s="9" t="s">
        <v>46</v>
      </c>
      <c r="F18" s="9" t="s">
        <v>34</v>
      </c>
      <c r="G18" s="9" t="s">
        <v>35</v>
      </c>
      <c r="H18" s="9"/>
    </row>
    <row r="19" customFormat="false" ht="15" hidden="false" customHeight="false" outlineLevel="0" collapsed="false">
      <c r="A19" s="9" t="s">
        <v>76</v>
      </c>
      <c r="B19" s="9" t="s">
        <v>77</v>
      </c>
      <c r="C19" s="10" t="n">
        <v>72</v>
      </c>
      <c r="D19" s="9" t="s">
        <v>32</v>
      </c>
      <c r="E19" s="9" t="s">
        <v>49</v>
      </c>
      <c r="F19" s="9" t="s">
        <v>50</v>
      </c>
      <c r="G19" s="9" t="s">
        <v>35</v>
      </c>
      <c r="H19" s="9"/>
    </row>
    <row r="20" customFormat="false" ht="15" hidden="false" customHeight="false" outlineLevel="0" collapsed="false">
      <c r="A20" s="9" t="s">
        <v>78</v>
      </c>
      <c r="B20" s="9" t="s">
        <v>79</v>
      </c>
      <c r="C20" s="10" t="n">
        <v>78</v>
      </c>
      <c r="D20" s="9" t="s">
        <v>32</v>
      </c>
      <c r="E20" s="9" t="s">
        <v>53</v>
      </c>
      <c r="F20" s="9" t="s">
        <v>39</v>
      </c>
      <c r="G20" s="9" t="s">
        <v>35</v>
      </c>
      <c r="H20" s="9"/>
    </row>
    <row r="21" customFormat="false" ht="15" hidden="false" customHeight="false" outlineLevel="0" collapsed="false">
      <c r="A21" s="9" t="s">
        <v>80</v>
      </c>
      <c r="B21" s="9" t="s">
        <v>81</v>
      </c>
      <c r="C21" s="10" t="n">
        <v>109</v>
      </c>
      <c r="D21" s="9" t="s">
        <v>32</v>
      </c>
      <c r="E21" s="9" t="s">
        <v>59</v>
      </c>
      <c r="F21" s="9" t="s">
        <v>82</v>
      </c>
      <c r="G21" s="9" t="s">
        <v>35</v>
      </c>
      <c r="H21" s="9"/>
    </row>
    <row r="22" customFormat="false" ht="15" hidden="false" customHeight="false" outlineLevel="0" collapsed="false">
      <c r="A22" s="9" t="s">
        <v>83</v>
      </c>
      <c r="B22" s="9" t="s">
        <v>84</v>
      </c>
      <c r="C22" s="10" t="n">
        <v>78</v>
      </c>
      <c r="D22" s="9" t="s">
        <v>32</v>
      </c>
      <c r="E22" s="9" t="s">
        <v>63</v>
      </c>
      <c r="F22" s="9" t="s">
        <v>64</v>
      </c>
      <c r="G22" s="9" t="s">
        <v>35</v>
      </c>
      <c r="H22" s="9"/>
    </row>
    <row r="23" customFormat="false" ht="15" hidden="false" customHeight="false" outlineLevel="0" collapsed="false">
      <c r="A23" s="9" t="s">
        <v>85</v>
      </c>
      <c r="B23" s="9" t="s">
        <v>86</v>
      </c>
      <c r="C23" s="10" t="n">
        <v>64</v>
      </c>
      <c r="D23" s="9" t="s">
        <v>32</v>
      </c>
      <c r="E23" s="9" t="s">
        <v>33</v>
      </c>
      <c r="F23" s="9" t="s">
        <v>34</v>
      </c>
      <c r="G23" s="9" t="s">
        <v>35</v>
      </c>
      <c r="H23" s="9"/>
    </row>
    <row r="24" customFormat="false" ht="15" hidden="false" customHeight="false" outlineLevel="0" collapsed="false">
      <c r="A24" s="9" t="s">
        <v>87</v>
      </c>
      <c r="B24" s="9" t="s">
        <v>88</v>
      </c>
      <c r="C24" s="11" t="n">
        <v>30.6</v>
      </c>
      <c r="D24" s="9" t="s">
        <v>32</v>
      </c>
      <c r="E24" s="9" t="s">
        <v>69</v>
      </c>
      <c r="F24" s="9" t="s">
        <v>50</v>
      </c>
      <c r="G24" s="9" t="s">
        <v>35</v>
      </c>
      <c r="H24" s="9"/>
    </row>
    <row r="25" customFormat="false" ht="15" hidden="false" customHeight="false" outlineLevel="0" collapsed="false">
      <c r="A25" s="9" t="s">
        <v>89</v>
      </c>
      <c r="B25" s="9" t="s">
        <v>90</v>
      </c>
      <c r="C25" s="10" t="n">
        <v>39</v>
      </c>
      <c r="D25" s="9" t="s">
        <v>32</v>
      </c>
      <c r="E25" s="9" t="s">
        <v>38</v>
      </c>
      <c r="F25" s="9" t="s">
        <v>39</v>
      </c>
      <c r="G25" s="9" t="s">
        <v>35</v>
      </c>
      <c r="H25" s="9"/>
    </row>
    <row r="26" customFormat="false" ht="15" hidden="false" customHeight="false" outlineLevel="0" collapsed="false">
      <c r="A26" s="9" t="s">
        <v>91</v>
      </c>
      <c r="B26" s="9" t="s">
        <v>92</v>
      </c>
      <c r="C26" s="10" t="n">
        <v>59</v>
      </c>
      <c r="D26" s="9" t="s">
        <v>32</v>
      </c>
      <c r="E26" s="9" t="s">
        <v>42</v>
      </c>
      <c r="F26" s="9" t="s">
        <v>43</v>
      </c>
      <c r="G26" s="9" t="s">
        <v>35</v>
      </c>
      <c r="H26" s="9"/>
    </row>
    <row r="27" customFormat="false" ht="15" hidden="false" customHeight="false" outlineLevel="0" collapsed="false">
      <c r="A27" s="9" t="s">
        <v>93</v>
      </c>
      <c r="B27" s="9" t="s">
        <v>94</v>
      </c>
      <c r="C27" s="10" t="n">
        <v>60</v>
      </c>
      <c r="D27" s="9" t="s">
        <v>32</v>
      </c>
      <c r="E27" s="9" t="s">
        <v>46</v>
      </c>
      <c r="F27" s="9" t="s">
        <v>34</v>
      </c>
      <c r="G27" s="9" t="s">
        <v>35</v>
      </c>
      <c r="H27" s="9"/>
    </row>
    <row r="28" customFormat="false" ht="15" hidden="false" customHeight="false" outlineLevel="0" collapsed="false">
      <c r="A28" s="9" t="s">
        <v>95</v>
      </c>
      <c r="B28" s="9" t="s">
        <v>96</v>
      </c>
      <c r="C28" s="11" t="n">
        <v>30.2</v>
      </c>
      <c r="D28" s="9" t="s">
        <v>32</v>
      </c>
      <c r="E28" s="9" t="s">
        <v>49</v>
      </c>
      <c r="F28" s="9" t="s">
        <v>50</v>
      </c>
      <c r="G28" s="9" t="s">
        <v>35</v>
      </c>
      <c r="H28" s="9" t="s">
        <v>97</v>
      </c>
    </row>
    <row r="29" customFormat="false" ht="15" hidden="false" customHeight="false" outlineLevel="0" collapsed="false">
      <c r="A29" s="9" t="s">
        <v>98</v>
      </c>
      <c r="B29" s="9" t="s">
        <v>99</v>
      </c>
      <c r="C29" s="10" t="n">
        <v>57</v>
      </c>
      <c r="D29" s="9" t="s">
        <v>32</v>
      </c>
      <c r="E29" s="9" t="s">
        <v>53</v>
      </c>
      <c r="F29" s="9" t="s">
        <v>39</v>
      </c>
      <c r="G29" s="9" t="s">
        <v>35</v>
      </c>
      <c r="H29" s="9"/>
    </row>
    <row r="30" customFormat="false" ht="15" hidden="false" customHeight="false" outlineLevel="0" collapsed="false">
      <c r="A30" s="9" t="s">
        <v>100</v>
      </c>
      <c r="B30" s="9" t="s">
        <v>101</v>
      </c>
      <c r="C30" s="10" t="n">
        <v>82</v>
      </c>
      <c r="D30" s="9" t="s">
        <v>32</v>
      </c>
      <c r="E30" s="9" t="s">
        <v>59</v>
      </c>
      <c r="F30" s="9" t="s">
        <v>60</v>
      </c>
      <c r="G30" s="9" t="s">
        <v>35</v>
      </c>
      <c r="H30" s="9"/>
    </row>
    <row r="31" customFormat="false" ht="15" hidden="false" customHeight="false" outlineLevel="0" collapsed="false">
      <c r="A31" s="9" t="s">
        <v>102</v>
      </c>
      <c r="B31" s="9" t="s">
        <v>103</v>
      </c>
      <c r="C31" s="10" t="n">
        <v>53</v>
      </c>
      <c r="D31" s="9" t="s">
        <v>32</v>
      </c>
      <c r="E31" s="9" t="s">
        <v>63</v>
      </c>
      <c r="F31" s="9" t="s">
        <v>64</v>
      </c>
      <c r="G31" s="9" t="s">
        <v>35</v>
      </c>
      <c r="H31" s="9"/>
    </row>
    <row r="32" customFormat="false" ht="15" hidden="false" customHeight="false" outlineLevel="0" collapsed="false">
      <c r="A32" s="9" t="s">
        <v>104</v>
      </c>
      <c r="B32" s="9" t="s">
        <v>105</v>
      </c>
      <c r="C32" s="11" t="n">
        <v>3.21</v>
      </c>
      <c r="D32" s="9" t="s">
        <v>106</v>
      </c>
      <c r="E32" s="9" t="s">
        <v>38</v>
      </c>
      <c r="F32" s="9" t="s">
        <v>107</v>
      </c>
      <c r="G32" s="9" t="s">
        <v>35</v>
      </c>
      <c r="H32" s="9"/>
    </row>
    <row r="33" customFormat="false" ht="15" hidden="false" customHeight="false" outlineLevel="0" collapsed="false">
      <c r="A33" s="9" t="s">
        <v>108</v>
      </c>
      <c r="B33" s="9" t="s">
        <v>109</v>
      </c>
      <c r="C33" s="11" t="n">
        <v>3.58</v>
      </c>
      <c r="D33" s="9" t="s">
        <v>106</v>
      </c>
      <c r="E33" s="9" t="s">
        <v>46</v>
      </c>
      <c r="F33" s="9" t="s">
        <v>107</v>
      </c>
      <c r="G33" s="9" t="s">
        <v>35</v>
      </c>
      <c r="H33" s="9"/>
    </row>
    <row r="34" customFormat="false" ht="15" hidden="false" customHeight="false" outlineLevel="0" collapsed="false">
      <c r="A34" s="9" t="s">
        <v>110</v>
      </c>
      <c r="B34" s="9" t="s">
        <v>111</v>
      </c>
      <c r="C34" s="11" t="n">
        <v>3.63</v>
      </c>
      <c r="D34" s="9" t="s">
        <v>106</v>
      </c>
      <c r="E34" s="9" t="s">
        <v>49</v>
      </c>
      <c r="F34" s="9" t="s">
        <v>107</v>
      </c>
      <c r="G34" s="9" t="s">
        <v>35</v>
      </c>
      <c r="H34" s="9"/>
    </row>
    <row r="35" customFormat="false" ht="15" hidden="false" customHeight="false" outlineLevel="0" collapsed="false">
      <c r="A35" s="9" t="s">
        <v>112</v>
      </c>
      <c r="B35" s="9" t="s">
        <v>113</v>
      </c>
      <c r="C35" s="11" t="n">
        <v>3.73</v>
      </c>
      <c r="D35" s="9" t="s">
        <v>106</v>
      </c>
      <c r="E35" s="9" t="s">
        <v>53</v>
      </c>
      <c r="F35" s="9" t="s">
        <v>107</v>
      </c>
      <c r="G35" s="9" t="s">
        <v>35</v>
      </c>
      <c r="H35" s="9"/>
    </row>
    <row r="36" customFormat="false" ht="15" hidden="false" customHeight="false" outlineLevel="0" collapsed="false">
      <c r="A36" s="9" t="s">
        <v>114</v>
      </c>
      <c r="B36" s="9" t="s">
        <v>115</v>
      </c>
      <c r="C36" s="11" t="n">
        <v>3.85</v>
      </c>
      <c r="D36" s="9" t="s">
        <v>106</v>
      </c>
      <c r="E36" s="9" t="s">
        <v>56</v>
      </c>
      <c r="F36" s="9" t="s">
        <v>107</v>
      </c>
      <c r="G36" s="9" t="s">
        <v>35</v>
      </c>
      <c r="H36" s="9" t="s">
        <v>116</v>
      </c>
    </row>
    <row r="37" customFormat="false" ht="15" hidden="false" customHeight="false" outlineLevel="0" collapsed="false">
      <c r="A37" s="9" t="s">
        <v>117</v>
      </c>
      <c r="B37" s="9" t="s">
        <v>118</v>
      </c>
      <c r="C37" s="11" t="n">
        <v>4.02</v>
      </c>
      <c r="D37" s="9" t="s">
        <v>106</v>
      </c>
      <c r="E37" s="9" t="s">
        <v>59</v>
      </c>
      <c r="F37" s="9" t="s">
        <v>107</v>
      </c>
      <c r="G37" s="9" t="s">
        <v>35</v>
      </c>
      <c r="H37" s="9"/>
    </row>
    <row r="38" customFormat="false" ht="15" hidden="false" customHeight="false" outlineLevel="0" collapsed="false">
      <c r="A38" s="9" t="s">
        <v>119</v>
      </c>
      <c r="B38" s="9" t="s">
        <v>120</v>
      </c>
      <c r="C38" s="11" t="n">
        <v>4.28</v>
      </c>
      <c r="D38" s="9" t="s">
        <v>106</v>
      </c>
      <c r="E38" s="9" t="s">
        <v>63</v>
      </c>
      <c r="F38" s="9" t="s">
        <v>107</v>
      </c>
      <c r="G38" s="9" t="s">
        <v>35</v>
      </c>
      <c r="H38" s="9"/>
    </row>
    <row r="39" customFormat="false" ht="15" hidden="false" customHeight="false" outlineLevel="0" collapsed="false">
      <c r="A39" s="9" t="s">
        <v>121</v>
      </c>
      <c r="B39" s="9" t="s">
        <v>122</v>
      </c>
      <c r="C39" s="11" t="n">
        <v>17.5</v>
      </c>
      <c r="D39" s="9" t="s">
        <v>123</v>
      </c>
      <c r="E39" s="9" t="s">
        <v>49</v>
      </c>
      <c r="F39" s="9" t="s">
        <v>107</v>
      </c>
      <c r="G39" s="9" t="s">
        <v>124</v>
      </c>
      <c r="H39" s="9"/>
    </row>
    <row r="40" customFormat="false" ht="15" hidden="false" customHeight="false" outlineLevel="0" collapsed="false">
      <c r="A40" s="9" t="s">
        <v>125</v>
      </c>
      <c r="B40" s="9" t="s">
        <v>126</v>
      </c>
      <c r="C40" s="11" t="n">
        <v>20.8</v>
      </c>
      <c r="D40" s="9" t="s">
        <v>123</v>
      </c>
      <c r="E40" s="9" t="s">
        <v>53</v>
      </c>
      <c r="F40" s="9" t="s">
        <v>107</v>
      </c>
      <c r="G40" s="9" t="s">
        <v>124</v>
      </c>
      <c r="H40" s="9" t="s">
        <v>127</v>
      </c>
    </row>
    <row r="41" customFormat="false" ht="15" hidden="false" customHeight="false" outlineLevel="0" collapsed="false">
      <c r="A41" s="9" t="s">
        <v>128</v>
      </c>
      <c r="B41" s="9" t="s">
        <v>129</v>
      </c>
      <c r="C41" s="11" t="n">
        <v>18.5</v>
      </c>
      <c r="D41" s="9" t="s">
        <v>123</v>
      </c>
      <c r="E41" s="9" t="s">
        <v>56</v>
      </c>
      <c r="F41" s="9" t="s">
        <v>107</v>
      </c>
      <c r="G41" s="9" t="s">
        <v>124</v>
      </c>
      <c r="H41" s="9"/>
    </row>
    <row r="42" customFormat="false" ht="15" hidden="false" customHeight="false" outlineLevel="0" collapsed="false">
      <c r="A42" s="9" t="s">
        <v>130</v>
      </c>
      <c r="B42" s="9" t="s">
        <v>131</v>
      </c>
      <c r="C42" s="11" t="n">
        <v>18.7</v>
      </c>
      <c r="D42" s="9" t="s">
        <v>123</v>
      </c>
      <c r="E42" s="9" t="s">
        <v>59</v>
      </c>
      <c r="F42" s="9" t="s">
        <v>107</v>
      </c>
      <c r="G42" s="9" t="s">
        <v>124</v>
      </c>
      <c r="H42" s="9"/>
    </row>
    <row r="43" customFormat="false" ht="15" hidden="false" customHeight="false" outlineLevel="0" collapsed="false">
      <c r="A43" s="9" t="s">
        <v>132</v>
      </c>
      <c r="B43" s="9" t="s">
        <v>133</v>
      </c>
      <c r="C43" s="11" t="n">
        <v>19.2</v>
      </c>
      <c r="D43" s="9" t="s">
        <v>123</v>
      </c>
      <c r="E43" s="9" t="s">
        <v>63</v>
      </c>
      <c r="F43" s="9" t="s">
        <v>107</v>
      </c>
      <c r="G43" s="9" t="s">
        <v>124</v>
      </c>
      <c r="H43" s="9"/>
    </row>
    <row r="44" customFormat="false" ht="15" hidden="false" customHeight="false" outlineLevel="0" collapsed="false">
      <c r="A44" s="9" t="s">
        <v>134</v>
      </c>
      <c r="B44" s="9" t="s">
        <v>135</v>
      </c>
      <c r="C44" s="11" t="n">
        <v>20.2</v>
      </c>
      <c r="D44" s="9" t="s">
        <v>123</v>
      </c>
      <c r="E44" s="9" t="s">
        <v>136</v>
      </c>
      <c r="F44" s="9" t="s">
        <v>137</v>
      </c>
      <c r="G44" s="9" t="s">
        <v>35</v>
      </c>
      <c r="H44" s="9" t="s">
        <v>138</v>
      </c>
    </row>
    <row r="45" customFormat="false" ht="15" hidden="false" customHeight="false" outlineLevel="0" collapsed="false">
      <c r="A45" s="9" t="s">
        <v>139</v>
      </c>
      <c r="B45" s="9" t="s">
        <v>140</v>
      </c>
      <c r="C45" s="11" t="n">
        <v>4.28</v>
      </c>
      <c r="D45" s="9" t="s">
        <v>106</v>
      </c>
      <c r="E45" s="9" t="s">
        <v>136</v>
      </c>
      <c r="F45" s="9" t="s">
        <v>141</v>
      </c>
      <c r="G45" s="9" t="s">
        <v>35</v>
      </c>
      <c r="H45" s="9" t="s">
        <v>142</v>
      </c>
    </row>
    <row r="46" customFormat="false" ht="15" hidden="false" customHeight="false" outlineLevel="0" collapsed="false">
      <c r="A46" s="7" t="s">
        <v>143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9" t="s">
        <v>144</v>
      </c>
      <c r="B47" s="9" t="s">
        <v>145</v>
      </c>
      <c r="C47" s="10" t="n">
        <v>639</v>
      </c>
      <c r="D47" s="9" t="s">
        <v>32</v>
      </c>
      <c r="E47" s="9" t="s">
        <v>146</v>
      </c>
      <c r="F47" s="9" t="s">
        <v>147</v>
      </c>
      <c r="G47" s="9" t="s">
        <v>148</v>
      </c>
      <c r="H47" s="9"/>
    </row>
    <row r="48" customFormat="false" ht="15" hidden="false" customHeight="false" outlineLevel="0" collapsed="false">
      <c r="A48" s="9" t="s">
        <v>149</v>
      </c>
      <c r="B48" s="9" t="s">
        <v>150</v>
      </c>
      <c r="C48" s="10" t="n">
        <v>788</v>
      </c>
      <c r="D48" s="9" t="s">
        <v>32</v>
      </c>
      <c r="E48" s="9" t="s">
        <v>151</v>
      </c>
      <c r="F48" s="9" t="s">
        <v>43</v>
      </c>
      <c r="G48" s="9" t="s">
        <v>35</v>
      </c>
      <c r="H48" s="9"/>
    </row>
    <row r="49" customFormat="false" ht="15" hidden="false" customHeight="false" outlineLevel="0" collapsed="false">
      <c r="A49" s="9" t="s">
        <v>152</v>
      </c>
      <c r="B49" s="9" t="s">
        <v>153</v>
      </c>
      <c r="C49" s="10" t="n">
        <v>868</v>
      </c>
      <c r="D49" s="9" t="s">
        <v>32</v>
      </c>
      <c r="E49" s="9" t="s">
        <v>154</v>
      </c>
      <c r="F49" s="9" t="s">
        <v>155</v>
      </c>
      <c r="G49" s="9" t="s">
        <v>35</v>
      </c>
      <c r="H49" s="9"/>
    </row>
    <row r="50" customFormat="false" ht="15" hidden="false" customHeight="false" outlineLevel="0" collapsed="false">
      <c r="A50" s="9" t="s">
        <v>156</v>
      </c>
      <c r="B50" s="9" t="s">
        <v>157</v>
      </c>
      <c r="C50" s="10" t="n">
        <v>117</v>
      </c>
      <c r="D50" s="9" t="s">
        <v>32</v>
      </c>
      <c r="E50" s="9" t="s">
        <v>146</v>
      </c>
      <c r="F50" s="9" t="s">
        <v>147</v>
      </c>
      <c r="G50" s="9" t="s">
        <v>148</v>
      </c>
      <c r="H50" s="9"/>
    </row>
    <row r="51" customFormat="false" ht="15" hidden="false" customHeight="false" outlineLevel="0" collapsed="false">
      <c r="A51" s="9" t="s">
        <v>158</v>
      </c>
      <c r="B51" s="9" t="s">
        <v>159</v>
      </c>
      <c r="C51" s="10" t="n">
        <v>304</v>
      </c>
      <c r="D51" s="9" t="s">
        <v>32</v>
      </c>
      <c r="E51" s="9" t="s">
        <v>151</v>
      </c>
      <c r="F51" s="9" t="s">
        <v>43</v>
      </c>
      <c r="G51" s="9" t="s">
        <v>35</v>
      </c>
      <c r="H51" s="9"/>
    </row>
    <row r="52" customFormat="false" ht="15" hidden="false" customHeight="false" outlineLevel="0" collapsed="false">
      <c r="A52" s="9" t="s">
        <v>160</v>
      </c>
      <c r="B52" s="9" t="s">
        <v>161</v>
      </c>
      <c r="C52" s="10" t="n">
        <v>317</v>
      </c>
      <c r="D52" s="9" t="s">
        <v>32</v>
      </c>
      <c r="E52" s="9" t="s">
        <v>154</v>
      </c>
      <c r="F52" s="9" t="s">
        <v>43</v>
      </c>
      <c r="G52" s="9" t="s">
        <v>35</v>
      </c>
      <c r="H52" s="9"/>
    </row>
    <row r="53" customFormat="false" ht="15" hidden="false" customHeight="false" outlineLevel="0" collapsed="false">
      <c r="A53" s="9" t="s">
        <v>162</v>
      </c>
      <c r="B53" s="9" t="s">
        <v>163</v>
      </c>
      <c r="C53" s="11" t="n">
        <v>15.3</v>
      </c>
      <c r="D53" s="9" t="s">
        <v>32</v>
      </c>
      <c r="E53" s="9" t="s">
        <v>146</v>
      </c>
      <c r="F53" s="9" t="s">
        <v>147</v>
      </c>
      <c r="G53" s="9" t="s">
        <v>148</v>
      </c>
      <c r="H53" s="9"/>
    </row>
    <row r="54" customFormat="false" ht="15" hidden="false" customHeight="false" outlineLevel="0" collapsed="false">
      <c r="A54" s="9" t="s">
        <v>164</v>
      </c>
      <c r="B54" s="9" t="s">
        <v>165</v>
      </c>
      <c r="C54" s="10" t="n">
        <v>192</v>
      </c>
      <c r="D54" s="9" t="s">
        <v>32</v>
      </c>
      <c r="E54" s="9" t="s">
        <v>151</v>
      </c>
      <c r="F54" s="9" t="s">
        <v>43</v>
      </c>
      <c r="G54" s="9" t="s">
        <v>35</v>
      </c>
      <c r="H54" s="9"/>
    </row>
    <row r="55" customFormat="false" ht="15" hidden="false" customHeight="false" outlineLevel="0" collapsed="false">
      <c r="A55" s="9" t="s">
        <v>166</v>
      </c>
      <c r="B55" s="9" t="s">
        <v>167</v>
      </c>
      <c r="C55" s="10" t="n">
        <v>216</v>
      </c>
      <c r="D55" s="9" t="s">
        <v>32</v>
      </c>
      <c r="E55" s="9" t="s">
        <v>154</v>
      </c>
      <c r="F55" s="9" t="s">
        <v>43</v>
      </c>
      <c r="G55" s="9" t="s">
        <v>35</v>
      </c>
      <c r="H55" s="9"/>
    </row>
    <row r="56" customFormat="false" ht="15" hidden="false" customHeight="false" outlineLevel="0" collapsed="false">
      <c r="A56" s="7" t="s">
        <v>168</v>
      </c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0" collapsed="false">
      <c r="A57" s="9" t="s">
        <v>169</v>
      </c>
      <c r="B57" s="9" t="s">
        <v>170</v>
      </c>
      <c r="C57" s="12" t="n">
        <v>0.1</v>
      </c>
      <c r="D57" s="9" t="s">
        <v>171</v>
      </c>
      <c r="E57" s="9"/>
      <c r="F57" s="9" t="s">
        <v>43</v>
      </c>
      <c r="G57" s="9" t="s">
        <v>35</v>
      </c>
      <c r="H57" s="9"/>
    </row>
    <row r="58" customFormat="false" ht="15" hidden="false" customHeight="false" outlineLevel="0" collapsed="false">
      <c r="A58" s="9" t="s">
        <v>172</v>
      </c>
      <c r="B58" s="9" t="s">
        <v>173</v>
      </c>
      <c r="C58" s="12" t="n">
        <v>0.12</v>
      </c>
      <c r="D58" s="9" t="s">
        <v>171</v>
      </c>
      <c r="E58" s="9"/>
      <c r="F58" s="9" t="s">
        <v>43</v>
      </c>
      <c r="G58" s="9" t="s">
        <v>35</v>
      </c>
      <c r="H58" s="9"/>
    </row>
    <row r="59" customFormat="false" ht="15" hidden="false" customHeight="false" outlineLevel="0" collapsed="false">
      <c r="A59" s="9" t="s">
        <v>174</v>
      </c>
      <c r="B59" s="9" t="s">
        <v>175</v>
      </c>
      <c r="C59" s="12" t="n">
        <v>0.04</v>
      </c>
      <c r="D59" s="9" t="s">
        <v>171</v>
      </c>
      <c r="E59" s="9"/>
      <c r="F59" s="9" t="s">
        <v>43</v>
      </c>
      <c r="G59" s="9" t="s">
        <v>35</v>
      </c>
      <c r="H59" s="9"/>
    </row>
    <row r="60" customFormat="false" ht="15" hidden="false" customHeight="false" outlineLevel="0" collapsed="false">
      <c r="A60" s="9" t="s">
        <v>176</v>
      </c>
      <c r="B60" s="9" t="s">
        <v>177</v>
      </c>
      <c r="C60" s="12" t="n">
        <v>0.09</v>
      </c>
      <c r="D60" s="9" t="s">
        <v>171</v>
      </c>
      <c r="E60" s="9"/>
      <c r="F60" s="9" t="s">
        <v>64</v>
      </c>
      <c r="G60" s="9" t="s">
        <v>35</v>
      </c>
      <c r="H60" s="9"/>
    </row>
    <row r="61" customFormat="false" ht="15" hidden="false" customHeight="false" outlineLevel="0" collapsed="false">
      <c r="A61" s="9" t="s">
        <v>178</v>
      </c>
      <c r="B61" s="9" t="s">
        <v>179</v>
      </c>
      <c r="C61" s="12" t="n">
        <v>0.09</v>
      </c>
      <c r="D61" s="9" t="s">
        <v>171</v>
      </c>
      <c r="E61" s="9"/>
      <c r="F61" s="9" t="s">
        <v>64</v>
      </c>
      <c r="G61" s="9" t="s">
        <v>35</v>
      </c>
      <c r="H61" s="9"/>
    </row>
    <row r="62" customFormat="false" ht="15" hidden="false" customHeight="false" outlineLevel="0" collapsed="false">
      <c r="A62" s="9" t="s">
        <v>180</v>
      </c>
      <c r="B62" s="9" t="s">
        <v>181</v>
      </c>
      <c r="C62" s="12" t="n">
        <v>0.77</v>
      </c>
      <c r="D62" s="9" t="s">
        <v>171</v>
      </c>
      <c r="E62" s="9"/>
      <c r="F62" s="9" t="s">
        <v>64</v>
      </c>
      <c r="G62" s="9" t="s">
        <v>35</v>
      </c>
      <c r="H62" s="9"/>
    </row>
    <row r="63" customFormat="false" ht="15" hidden="false" customHeight="false" outlineLevel="0" collapsed="false">
      <c r="A63" s="9" t="s">
        <v>182</v>
      </c>
      <c r="B63" s="9" t="s">
        <v>183</v>
      </c>
      <c r="C63" s="12" t="n">
        <v>0.19</v>
      </c>
      <c r="D63" s="9" t="s">
        <v>171</v>
      </c>
      <c r="E63" s="9"/>
      <c r="F63" s="9" t="s">
        <v>60</v>
      </c>
      <c r="G63" s="9" t="s">
        <v>35</v>
      </c>
      <c r="H63" s="9"/>
    </row>
    <row r="64" customFormat="false" ht="15" hidden="false" customHeight="false" outlineLevel="0" collapsed="false">
      <c r="A64" s="9" t="s">
        <v>184</v>
      </c>
      <c r="B64" s="9" t="s">
        <v>185</v>
      </c>
      <c r="C64" s="12" t="n">
        <v>0.37</v>
      </c>
      <c r="D64" s="9" t="s">
        <v>171</v>
      </c>
      <c r="E64" s="9"/>
      <c r="F64" s="9" t="s">
        <v>60</v>
      </c>
      <c r="G64" s="9" t="s">
        <v>35</v>
      </c>
      <c r="H64" s="9"/>
    </row>
    <row r="65" customFormat="false" ht="15" hidden="false" customHeight="false" outlineLevel="0" collapsed="false">
      <c r="A65" s="9" t="s">
        <v>186</v>
      </c>
      <c r="B65" s="9" t="s">
        <v>187</v>
      </c>
      <c r="C65" s="12" t="n">
        <v>0.35</v>
      </c>
      <c r="D65" s="9" t="s">
        <v>171</v>
      </c>
      <c r="E65" s="9"/>
      <c r="F65" s="9" t="s">
        <v>60</v>
      </c>
      <c r="G65" s="9" t="s">
        <v>35</v>
      </c>
      <c r="H65" s="9"/>
    </row>
    <row r="66" customFormat="false" ht="15" hidden="false" customHeight="false" outlineLevel="0" collapsed="false">
      <c r="A66" s="9" t="s">
        <v>188</v>
      </c>
      <c r="B66" s="9" t="s">
        <v>189</v>
      </c>
      <c r="C66" s="12" t="n">
        <v>0.28</v>
      </c>
      <c r="D66" s="9" t="s">
        <v>171</v>
      </c>
      <c r="E66" s="9"/>
      <c r="F66" s="9" t="s">
        <v>39</v>
      </c>
      <c r="G66" s="9" t="s">
        <v>35</v>
      </c>
      <c r="H66" s="9"/>
    </row>
    <row r="67" customFormat="false" ht="15" hidden="false" customHeight="false" outlineLevel="0" collapsed="false">
      <c r="A67" s="9" t="s">
        <v>190</v>
      </c>
      <c r="B67" s="9" t="s">
        <v>191</v>
      </c>
      <c r="C67" s="12" t="n">
        <v>0.43</v>
      </c>
      <c r="D67" s="9" t="s">
        <v>171</v>
      </c>
      <c r="E67" s="9"/>
      <c r="F67" s="9" t="s">
        <v>39</v>
      </c>
      <c r="G67" s="9" t="s">
        <v>35</v>
      </c>
      <c r="H67" s="9"/>
    </row>
    <row r="68" customFormat="false" ht="15" hidden="false" customHeight="false" outlineLevel="0" collapsed="false">
      <c r="A68" s="9" t="s">
        <v>192</v>
      </c>
      <c r="B68" s="9" t="s">
        <v>193</v>
      </c>
      <c r="C68" s="12" t="n">
        <v>0.48</v>
      </c>
      <c r="D68" s="9" t="s">
        <v>171</v>
      </c>
      <c r="E68" s="9"/>
      <c r="F68" s="9" t="s">
        <v>39</v>
      </c>
      <c r="G68" s="9" t="s">
        <v>35</v>
      </c>
      <c r="H68" s="9"/>
    </row>
    <row r="69" customFormat="false" ht="15" hidden="false" customHeight="false" outlineLevel="0" collapsed="false">
      <c r="A69" s="9" t="s">
        <v>194</v>
      </c>
      <c r="B69" s="9" t="s">
        <v>195</v>
      </c>
      <c r="C69" s="12" t="n">
        <v>0.26</v>
      </c>
      <c r="D69" s="9" t="s">
        <v>171</v>
      </c>
      <c r="E69" s="9"/>
      <c r="F69" s="9" t="s">
        <v>50</v>
      </c>
      <c r="G69" s="9" t="s">
        <v>35</v>
      </c>
      <c r="H69" s="9"/>
    </row>
    <row r="70" customFormat="false" ht="15" hidden="false" customHeight="false" outlineLevel="0" collapsed="false">
      <c r="A70" s="9" t="s">
        <v>196</v>
      </c>
      <c r="B70" s="9" t="s">
        <v>197</v>
      </c>
      <c r="C70" s="12" t="n">
        <v>0.31</v>
      </c>
      <c r="D70" s="9" t="s">
        <v>171</v>
      </c>
      <c r="E70" s="9"/>
      <c r="F70" s="9" t="s">
        <v>50</v>
      </c>
      <c r="G70" s="9" t="s">
        <v>35</v>
      </c>
      <c r="H70" s="9"/>
    </row>
    <row r="71" customFormat="false" ht="15" hidden="false" customHeight="false" outlineLevel="0" collapsed="false">
      <c r="A71" s="9" t="s">
        <v>198</v>
      </c>
      <c r="B71" s="9" t="s">
        <v>199</v>
      </c>
      <c r="C71" s="12" t="n">
        <v>0.08</v>
      </c>
      <c r="D71" s="9" t="s">
        <v>171</v>
      </c>
      <c r="E71" s="9"/>
      <c r="F71" s="9" t="s">
        <v>34</v>
      </c>
      <c r="G71" s="9" t="s">
        <v>35</v>
      </c>
      <c r="H71" s="9"/>
    </row>
    <row r="72" customFormat="false" ht="15" hidden="false" customHeight="false" outlineLevel="0" collapsed="false">
      <c r="A72" s="9" t="s">
        <v>200</v>
      </c>
      <c r="B72" s="9" t="s">
        <v>201</v>
      </c>
      <c r="C72" s="12" t="n">
        <v>0.18</v>
      </c>
      <c r="D72" s="9" t="s">
        <v>171</v>
      </c>
      <c r="E72" s="9"/>
      <c r="F72" s="9" t="s">
        <v>64</v>
      </c>
      <c r="G72" s="9" t="s">
        <v>35</v>
      </c>
      <c r="H72" s="9"/>
    </row>
    <row r="73" customFormat="false" ht="15" hidden="false" customHeight="false" outlineLevel="0" collapsed="false">
      <c r="A73" s="9" t="s">
        <v>202</v>
      </c>
      <c r="B73" s="9" t="s">
        <v>203</v>
      </c>
      <c r="C73" s="12" t="n">
        <v>0.1</v>
      </c>
      <c r="D73" s="9" t="s">
        <v>171</v>
      </c>
      <c r="E73" s="9"/>
      <c r="F73" s="9" t="s">
        <v>64</v>
      </c>
      <c r="G73" s="9" t="s">
        <v>35</v>
      </c>
      <c r="H73" s="9"/>
    </row>
    <row r="74" customFormat="false" ht="15" hidden="false" customHeight="false" outlineLevel="0" collapsed="false">
      <c r="A74" s="9" t="s">
        <v>204</v>
      </c>
      <c r="B74" s="9" t="s">
        <v>205</v>
      </c>
      <c r="C74" s="12" t="n">
        <v>0.16</v>
      </c>
      <c r="D74" s="9" t="s">
        <v>171</v>
      </c>
      <c r="E74" s="9"/>
      <c r="F74" s="9" t="s">
        <v>39</v>
      </c>
      <c r="G74" s="9" t="s">
        <v>35</v>
      </c>
      <c r="H74" s="9"/>
    </row>
    <row r="75" customFormat="false" ht="15" hidden="false" customHeight="false" outlineLevel="0" collapsed="false">
      <c r="A75" s="9" t="s">
        <v>206</v>
      </c>
      <c r="B75" s="9" t="s">
        <v>207</v>
      </c>
      <c r="C75" s="12" t="n">
        <v>0.34</v>
      </c>
      <c r="D75" s="9" t="s">
        <v>171</v>
      </c>
      <c r="E75" s="9"/>
      <c r="F75" s="9" t="s">
        <v>64</v>
      </c>
      <c r="G75" s="9" t="s">
        <v>35</v>
      </c>
      <c r="H75" s="9"/>
    </row>
    <row r="76" customFormat="false" ht="15" hidden="false" customHeight="false" outlineLevel="0" collapsed="false">
      <c r="A76" s="9" t="s">
        <v>208</v>
      </c>
      <c r="B76" s="9" t="s">
        <v>209</v>
      </c>
      <c r="C76" s="12" t="n">
        <v>-0.11</v>
      </c>
      <c r="D76" s="9" t="s">
        <v>171</v>
      </c>
      <c r="E76" s="9"/>
      <c r="F76" s="9" t="s">
        <v>210</v>
      </c>
      <c r="G76" s="9" t="s">
        <v>35</v>
      </c>
      <c r="H76" s="9"/>
    </row>
    <row r="77" customFormat="false" ht="15" hidden="false" customHeight="false" outlineLevel="0" collapsed="false">
      <c r="A77" s="9" t="s">
        <v>211</v>
      </c>
      <c r="B77" s="9" t="s">
        <v>212</v>
      </c>
      <c r="C77" s="10" t="n">
        <v>1593</v>
      </c>
      <c r="D77" s="9" t="s">
        <v>32</v>
      </c>
      <c r="E77" s="9" t="s">
        <v>213</v>
      </c>
      <c r="F77" s="9" t="s">
        <v>214</v>
      </c>
      <c r="G77" s="9" t="s">
        <v>148</v>
      </c>
      <c r="H77" s="9"/>
    </row>
    <row r="78" customFormat="false" ht="15" hidden="false" customHeight="false" outlineLevel="0" collapsed="false">
      <c r="A78" s="9" t="s">
        <v>215</v>
      </c>
      <c r="B78" s="9" t="s">
        <v>216</v>
      </c>
      <c r="C78" s="10" t="n">
        <v>2094</v>
      </c>
      <c r="D78" s="9" t="s">
        <v>32</v>
      </c>
      <c r="E78" s="9" t="s">
        <v>217</v>
      </c>
      <c r="F78" s="9" t="s">
        <v>141</v>
      </c>
      <c r="G78" s="9" t="s">
        <v>148</v>
      </c>
      <c r="H78" s="9"/>
    </row>
    <row r="79" customFormat="false" ht="15" hidden="false" customHeight="false" outlineLevel="0" collapsed="false">
      <c r="A79" s="9" t="s">
        <v>218</v>
      </c>
      <c r="B79" s="9" t="s">
        <v>219</v>
      </c>
      <c r="C79" s="10" t="n">
        <v>1350</v>
      </c>
      <c r="D79" s="9" t="s">
        <v>32</v>
      </c>
      <c r="E79" s="9" t="s">
        <v>213</v>
      </c>
      <c r="F79" s="9" t="s">
        <v>141</v>
      </c>
      <c r="G79" s="9" t="s">
        <v>148</v>
      </c>
      <c r="H79" s="9"/>
    </row>
    <row r="80" customFormat="false" ht="15" hidden="false" customHeight="false" outlineLevel="0" collapsed="false">
      <c r="A80" s="9" t="s">
        <v>220</v>
      </c>
      <c r="B80" s="9" t="s">
        <v>221</v>
      </c>
      <c r="C80" s="10" t="n">
        <v>1910</v>
      </c>
      <c r="D80" s="9" t="s">
        <v>32</v>
      </c>
      <c r="E80" s="9" t="s">
        <v>217</v>
      </c>
      <c r="F80" s="9" t="s">
        <v>141</v>
      </c>
      <c r="G80" s="9" t="s">
        <v>148</v>
      </c>
      <c r="H80" s="9" t="s">
        <v>222</v>
      </c>
    </row>
    <row r="81" customFormat="false" ht="15" hidden="false" customHeight="false" outlineLevel="0" collapsed="false">
      <c r="A81" s="9" t="s">
        <v>223</v>
      </c>
      <c r="B81" s="9" t="s">
        <v>224</v>
      </c>
      <c r="C81" s="10" t="n">
        <v>142</v>
      </c>
      <c r="D81" s="9" t="s">
        <v>32</v>
      </c>
      <c r="E81" s="9" t="s">
        <v>213</v>
      </c>
      <c r="F81" s="9" t="s">
        <v>225</v>
      </c>
      <c r="G81" s="9" t="s">
        <v>148</v>
      </c>
      <c r="H81" s="9"/>
    </row>
    <row r="82" customFormat="false" ht="15" hidden="false" customHeight="false" outlineLevel="0" collapsed="false">
      <c r="A82" s="9" t="s">
        <v>226</v>
      </c>
      <c r="B82" s="9" t="s">
        <v>227</v>
      </c>
      <c r="C82" s="10" t="n">
        <v>11</v>
      </c>
      <c r="D82" s="9" t="s">
        <v>32</v>
      </c>
      <c r="E82" s="9" t="s">
        <v>213</v>
      </c>
      <c r="F82" s="9" t="s">
        <v>141</v>
      </c>
      <c r="G82" s="9" t="s">
        <v>148</v>
      </c>
      <c r="H82" s="9"/>
    </row>
    <row r="83" customFormat="false" ht="15" hidden="false" customHeight="false" outlineLevel="0" collapsed="false">
      <c r="A83" s="9" t="s">
        <v>228</v>
      </c>
      <c r="B83" s="9" t="s">
        <v>229</v>
      </c>
      <c r="C83" s="10" t="n">
        <v>49</v>
      </c>
      <c r="D83" s="9" t="s">
        <v>32</v>
      </c>
      <c r="E83" s="9" t="s">
        <v>213</v>
      </c>
      <c r="F83" s="9" t="s">
        <v>141</v>
      </c>
      <c r="G83" s="9" t="s">
        <v>148</v>
      </c>
      <c r="H83" s="9"/>
    </row>
    <row r="84" customFormat="false" ht="15" hidden="false" customHeight="false" outlineLevel="0" collapsed="false">
      <c r="A84" s="9" t="s">
        <v>230</v>
      </c>
      <c r="B84" s="9" t="s">
        <v>231</v>
      </c>
      <c r="C84" s="10" t="n">
        <v>26</v>
      </c>
      <c r="D84" s="9" t="s">
        <v>32</v>
      </c>
      <c r="E84" s="9" t="s">
        <v>213</v>
      </c>
      <c r="F84" s="9" t="s">
        <v>141</v>
      </c>
      <c r="G84" s="9" t="s">
        <v>148</v>
      </c>
      <c r="H84" s="9"/>
    </row>
    <row r="85" customFormat="false" ht="15" hidden="false" customHeight="false" outlineLevel="0" collapsed="false">
      <c r="A85" s="9" t="s">
        <v>232</v>
      </c>
      <c r="B85" s="9" t="s">
        <v>233</v>
      </c>
      <c r="C85" s="12" t="n">
        <v>0.5</v>
      </c>
      <c r="D85" s="9" t="s">
        <v>171</v>
      </c>
      <c r="E85" s="9" t="s">
        <v>234</v>
      </c>
      <c r="F85" s="9" t="s">
        <v>141</v>
      </c>
      <c r="G85" s="9" t="s">
        <v>148</v>
      </c>
      <c r="H85" s="9"/>
    </row>
    <row r="86" customFormat="false" ht="15" hidden="false" customHeight="false" outlineLevel="0" collapsed="false">
      <c r="A86" s="9" t="s">
        <v>235</v>
      </c>
      <c r="B86" s="9" t="s">
        <v>236</v>
      </c>
      <c r="C86" s="12" t="n">
        <v>0.11</v>
      </c>
      <c r="D86" s="9" t="s">
        <v>171</v>
      </c>
      <c r="E86" s="9" t="s">
        <v>213</v>
      </c>
      <c r="F86" s="9" t="s">
        <v>141</v>
      </c>
      <c r="G86" s="9" t="s">
        <v>148</v>
      </c>
      <c r="H86" s="9"/>
    </row>
    <row r="87" customFormat="false" ht="15" hidden="false" customHeight="false" outlineLevel="0" collapsed="false">
      <c r="A87" s="7" t="s">
        <v>237</v>
      </c>
      <c r="B87" s="8"/>
      <c r="C87" s="8"/>
      <c r="D87" s="8"/>
      <c r="E87" s="8"/>
      <c r="F87" s="8"/>
      <c r="G87" s="8"/>
      <c r="H87" s="8"/>
    </row>
    <row r="88" customFormat="false" ht="15" hidden="false" customHeight="false" outlineLevel="0" collapsed="false">
      <c r="A88" s="9" t="s">
        <v>238</v>
      </c>
      <c r="B88" s="9" t="s">
        <v>239</v>
      </c>
      <c r="C88" s="11" t="n">
        <v>26.4</v>
      </c>
      <c r="D88" s="9" t="s">
        <v>240</v>
      </c>
      <c r="E88" s="9" t="s">
        <v>241</v>
      </c>
      <c r="F88" s="9" t="s">
        <v>242</v>
      </c>
      <c r="G88" s="9" t="s">
        <v>243</v>
      </c>
      <c r="H88" s="9"/>
    </row>
    <row r="89" customFormat="false" ht="15" hidden="false" customHeight="false" outlineLevel="0" collapsed="false">
      <c r="A89" s="9" t="s">
        <v>244</v>
      </c>
      <c r="B89" s="9" t="s">
        <v>245</v>
      </c>
      <c r="C89" s="11" t="n">
        <v>79.53</v>
      </c>
      <c r="D89" s="9" t="s">
        <v>106</v>
      </c>
      <c r="E89" s="9" t="s">
        <v>246</v>
      </c>
      <c r="F89" s="9" t="s">
        <v>247</v>
      </c>
      <c r="G89" s="9" t="s">
        <v>243</v>
      </c>
      <c r="H89" s="9"/>
    </row>
    <row r="90" customFormat="false" ht="15" hidden="false" customHeight="false" outlineLevel="0" collapsed="false">
      <c r="A90" s="9" t="s">
        <v>248</v>
      </c>
      <c r="B90" s="9" t="s">
        <v>249</v>
      </c>
      <c r="C90" s="11" t="n">
        <v>82.85</v>
      </c>
      <c r="D90" s="9" t="s">
        <v>106</v>
      </c>
      <c r="E90" s="9" t="s">
        <v>250</v>
      </c>
      <c r="F90" s="9" t="s">
        <v>251</v>
      </c>
      <c r="G90" s="9" t="s">
        <v>35</v>
      </c>
      <c r="H90" s="9"/>
    </row>
    <row r="91" customFormat="false" ht="15" hidden="false" customHeight="false" outlineLevel="0" collapsed="false">
      <c r="A91" s="9" t="s">
        <v>252</v>
      </c>
      <c r="B91" s="9" t="s">
        <v>253</v>
      </c>
      <c r="C91" s="11" t="n">
        <v>70.04</v>
      </c>
      <c r="D91" s="9" t="s">
        <v>106</v>
      </c>
      <c r="E91" s="9" t="s">
        <v>254</v>
      </c>
      <c r="F91" s="9" t="s">
        <v>255</v>
      </c>
      <c r="G91" s="9" t="s">
        <v>35</v>
      </c>
      <c r="H91" s="9"/>
    </row>
    <row r="92" customFormat="false" ht="15" hidden="false" customHeight="false" outlineLevel="0" collapsed="false">
      <c r="A92" s="9" t="s">
        <v>256</v>
      </c>
      <c r="B92" s="9" t="s">
        <v>257</v>
      </c>
      <c r="C92" s="11" t="n">
        <v>0.58</v>
      </c>
      <c r="D92" s="9" t="s">
        <v>240</v>
      </c>
      <c r="E92" s="9" t="s">
        <v>213</v>
      </c>
      <c r="F92" s="9" t="s">
        <v>258</v>
      </c>
      <c r="G92" s="9" t="s">
        <v>243</v>
      </c>
      <c r="H92" s="9"/>
    </row>
    <row r="93" customFormat="false" ht="15" hidden="false" customHeight="false" outlineLevel="0" collapsed="false">
      <c r="A93" s="9" t="s">
        <v>259</v>
      </c>
      <c r="B93" s="9" t="s">
        <v>260</v>
      </c>
      <c r="C93" s="10" t="n">
        <v>1200</v>
      </c>
      <c r="D93" s="9" t="s">
        <v>32</v>
      </c>
      <c r="E93" s="9" t="s">
        <v>261</v>
      </c>
      <c r="F93" s="9" t="s">
        <v>64</v>
      </c>
      <c r="G93" s="9" t="s">
        <v>35</v>
      </c>
      <c r="H93" s="9" t="s">
        <v>262</v>
      </c>
    </row>
    <row r="94" customFormat="false" ht="15" hidden="false" customHeight="false" outlineLevel="0" collapsed="false">
      <c r="A94" s="9" t="s">
        <v>263</v>
      </c>
      <c r="B94" s="9" t="s">
        <v>264</v>
      </c>
      <c r="C94" s="10" t="n">
        <v>0</v>
      </c>
      <c r="D94" s="9" t="s">
        <v>32</v>
      </c>
      <c r="E94" s="9" t="s">
        <v>261</v>
      </c>
      <c r="F94" s="9" t="s">
        <v>265</v>
      </c>
      <c r="G94" s="9" t="s">
        <v>266</v>
      </c>
      <c r="H94" s="9" t="s">
        <v>267</v>
      </c>
    </row>
    <row r="95" customFormat="false" ht="15" hidden="false" customHeight="false" outlineLevel="0" collapsed="false">
      <c r="A95" s="9" t="s">
        <v>268</v>
      </c>
      <c r="B95" s="9" t="s">
        <v>269</v>
      </c>
      <c r="C95" s="10" t="n">
        <v>52</v>
      </c>
      <c r="D95" s="9" t="s">
        <v>240</v>
      </c>
      <c r="E95" s="9" t="s">
        <v>270</v>
      </c>
      <c r="F95" s="9" t="s">
        <v>271</v>
      </c>
      <c r="G95" s="9" t="s">
        <v>148</v>
      </c>
      <c r="H95" s="9"/>
    </row>
    <row r="96" customFormat="false" ht="15" hidden="false" customHeight="false" outlineLevel="0" collapsed="false">
      <c r="A96" s="9" t="s">
        <v>272</v>
      </c>
      <c r="B96" s="9" t="s">
        <v>273</v>
      </c>
      <c r="C96" s="10" t="n">
        <v>4200</v>
      </c>
      <c r="D96" s="9" t="s">
        <v>32</v>
      </c>
      <c r="E96" s="9" t="s">
        <v>270</v>
      </c>
      <c r="F96" s="9" t="s">
        <v>141</v>
      </c>
      <c r="G96" s="9" t="s">
        <v>148</v>
      </c>
      <c r="H96" s="9"/>
    </row>
    <row r="97" customFormat="false" ht="15" hidden="false" customHeight="false" outlineLevel="0" collapsed="false">
      <c r="A97" s="9" t="s">
        <v>274</v>
      </c>
      <c r="B97" s="9" t="s">
        <v>275</v>
      </c>
      <c r="C97" s="10" t="n">
        <v>310</v>
      </c>
      <c r="D97" s="9" t="s">
        <v>32</v>
      </c>
      <c r="E97" s="9" t="s">
        <v>276</v>
      </c>
      <c r="F97" s="9" t="s">
        <v>277</v>
      </c>
      <c r="G97" s="9" t="s">
        <v>148</v>
      </c>
      <c r="H97" s="9"/>
    </row>
    <row r="98" customFormat="false" ht="15" hidden="false" customHeight="false" outlineLevel="0" collapsed="false">
      <c r="A98" s="9" t="s">
        <v>278</v>
      </c>
      <c r="B98" s="9" t="s">
        <v>279</v>
      </c>
      <c r="C98" s="10" t="n">
        <v>250</v>
      </c>
      <c r="D98" s="9" t="s">
        <v>32</v>
      </c>
      <c r="E98" s="9" t="s">
        <v>280</v>
      </c>
      <c r="F98" s="9" t="s">
        <v>281</v>
      </c>
      <c r="G98" s="9" t="s">
        <v>148</v>
      </c>
      <c r="H98" s="9"/>
    </row>
    <row r="99" customFormat="false" ht="15" hidden="false" customHeight="false" outlineLevel="0" collapsed="false">
      <c r="A99" s="9" t="s">
        <v>282</v>
      </c>
      <c r="B99" s="9" t="s">
        <v>283</v>
      </c>
      <c r="C99" s="10" t="n">
        <v>10400</v>
      </c>
      <c r="D99" s="9" t="s">
        <v>32</v>
      </c>
      <c r="E99" s="9" t="s">
        <v>284</v>
      </c>
      <c r="F99" s="9" t="s">
        <v>285</v>
      </c>
      <c r="G99" s="9" t="s">
        <v>148</v>
      </c>
      <c r="H99" s="9"/>
    </row>
    <row r="100" customFormat="false" ht="15" hidden="false" customHeight="false" outlineLevel="0" collapsed="false">
      <c r="A100" s="9" t="s">
        <v>286</v>
      </c>
      <c r="B100" s="9" t="s">
        <v>287</v>
      </c>
      <c r="C100" s="10" t="n">
        <v>50</v>
      </c>
      <c r="D100" s="9" t="s">
        <v>32</v>
      </c>
      <c r="E100" s="9" t="s">
        <v>288</v>
      </c>
      <c r="F100" s="9" t="s">
        <v>289</v>
      </c>
      <c r="G100" s="9" t="s">
        <v>35</v>
      </c>
      <c r="H100" s="9"/>
    </row>
    <row r="101" customFormat="false" ht="15" hidden="false" customHeight="false" outlineLevel="0" collapsed="false">
      <c r="A101" s="9" t="s">
        <v>290</v>
      </c>
      <c r="B101" s="9" t="s">
        <v>291</v>
      </c>
      <c r="C101" s="12" t="n">
        <v>0.0934</v>
      </c>
      <c r="D101" s="9" t="s">
        <v>171</v>
      </c>
      <c r="E101" s="9" t="s">
        <v>276</v>
      </c>
      <c r="F101" s="9" t="s">
        <v>292</v>
      </c>
      <c r="G101" s="9" t="s">
        <v>148</v>
      </c>
      <c r="H101" s="9"/>
    </row>
    <row r="102" customFormat="false" ht="15" hidden="false" customHeight="false" outlineLevel="0" collapsed="false">
      <c r="A102" s="9" t="s">
        <v>293</v>
      </c>
      <c r="B102" s="9" t="s">
        <v>294</v>
      </c>
      <c r="C102" s="10" t="n">
        <v>231</v>
      </c>
      <c r="D102" s="9" t="s">
        <v>32</v>
      </c>
      <c r="E102" s="9" t="s">
        <v>136</v>
      </c>
      <c r="F102" s="9" t="s">
        <v>295</v>
      </c>
      <c r="G102" s="9" t="s">
        <v>35</v>
      </c>
      <c r="H102" s="9"/>
    </row>
    <row r="103" customFormat="false" ht="15" hidden="false" customHeight="false" outlineLevel="0" collapsed="false">
      <c r="A103" s="9" t="s">
        <v>296</v>
      </c>
      <c r="B103" s="9" t="s">
        <v>297</v>
      </c>
      <c r="C103" s="10" t="n">
        <v>80</v>
      </c>
      <c r="D103" s="9" t="s">
        <v>32</v>
      </c>
      <c r="E103" s="9" t="s">
        <v>298</v>
      </c>
      <c r="F103" s="9" t="s">
        <v>141</v>
      </c>
      <c r="G103" s="9" t="s">
        <v>35</v>
      </c>
      <c r="H103" s="9"/>
    </row>
    <row r="104" customFormat="false" ht="15" hidden="false" customHeight="false" outlineLevel="0" collapsed="false">
      <c r="A104" s="9" t="s">
        <v>299</v>
      </c>
      <c r="B104" s="9" t="s">
        <v>300</v>
      </c>
      <c r="C104" s="11" t="n">
        <v>2.5</v>
      </c>
      <c r="D104" s="9" t="s">
        <v>106</v>
      </c>
      <c r="E104" s="9" t="s">
        <v>136</v>
      </c>
      <c r="F104" s="9" t="s">
        <v>141</v>
      </c>
      <c r="G104" s="9" t="s">
        <v>35</v>
      </c>
      <c r="H104" s="9"/>
    </row>
    <row r="105" customFormat="false" ht="15" hidden="false" customHeight="false" outlineLevel="0" collapsed="false">
      <c r="A105" s="9" t="s">
        <v>301</v>
      </c>
      <c r="B105" s="9" t="s">
        <v>302</v>
      </c>
      <c r="C105" s="11" t="n">
        <v>2.9</v>
      </c>
      <c r="D105" s="9" t="s">
        <v>303</v>
      </c>
      <c r="E105" s="9"/>
      <c r="F105" s="9" t="s">
        <v>141</v>
      </c>
      <c r="G105" s="9" t="s">
        <v>148</v>
      </c>
      <c r="H105" s="9"/>
    </row>
    <row r="106" customFormat="false" ht="15" hidden="false" customHeight="false" outlineLevel="0" collapsed="false">
      <c r="A106" s="9" t="s">
        <v>304</v>
      </c>
      <c r="B106" s="9" t="s">
        <v>305</v>
      </c>
      <c r="C106" s="11" t="n">
        <v>0.2</v>
      </c>
      <c r="D106" s="9" t="s">
        <v>106</v>
      </c>
      <c r="E106" s="9" t="s">
        <v>306</v>
      </c>
      <c r="F106" s="9" t="s">
        <v>307</v>
      </c>
      <c r="G106" s="9" t="s">
        <v>35</v>
      </c>
      <c r="H106" s="9"/>
    </row>
    <row r="107" customFormat="false" ht="15" hidden="false" customHeight="false" outlineLevel="0" collapsed="false">
      <c r="A107" s="9" t="s">
        <v>308</v>
      </c>
      <c r="B107" s="9" t="s">
        <v>309</v>
      </c>
      <c r="C107" s="10" t="n">
        <v>8</v>
      </c>
      <c r="D107" s="9" t="s">
        <v>310</v>
      </c>
      <c r="E107" s="9" t="s">
        <v>246</v>
      </c>
      <c r="F107" s="9" t="s">
        <v>311</v>
      </c>
      <c r="G107" s="9" t="s">
        <v>312</v>
      </c>
      <c r="H107" s="9"/>
    </row>
    <row r="108" customFormat="false" ht="15" hidden="false" customHeight="false" outlineLevel="0" collapsed="false">
      <c r="A108" s="9" t="s">
        <v>313</v>
      </c>
      <c r="B108" s="9" t="s">
        <v>314</v>
      </c>
      <c r="C108" s="10" t="n">
        <v>1</v>
      </c>
      <c r="D108" s="9" t="s">
        <v>310</v>
      </c>
      <c r="E108" s="9"/>
      <c r="F108" s="9" t="s">
        <v>315</v>
      </c>
      <c r="G108" s="9" t="s">
        <v>148</v>
      </c>
      <c r="H108" s="9"/>
    </row>
    <row r="109" customFormat="false" ht="15" hidden="false" customHeight="false" outlineLevel="0" collapsed="false">
      <c r="A109" s="7" t="s">
        <v>316</v>
      </c>
      <c r="B109" s="8"/>
      <c r="C109" s="8"/>
      <c r="D109" s="8"/>
      <c r="E109" s="8"/>
      <c r="F109" s="8"/>
      <c r="G109" s="8"/>
      <c r="H109" s="8"/>
    </row>
    <row r="110" customFormat="false" ht="15" hidden="false" customHeight="false" outlineLevel="0" collapsed="false">
      <c r="A110" s="9" t="s">
        <v>317</v>
      </c>
      <c r="B110" s="9" t="s">
        <v>318</v>
      </c>
      <c r="C110" s="11" t="n">
        <v>1.3245</v>
      </c>
      <c r="D110" s="9"/>
      <c r="E110" s="9" t="s">
        <v>319</v>
      </c>
      <c r="F110" s="9" t="s">
        <v>320</v>
      </c>
      <c r="G110" s="9" t="s">
        <v>243</v>
      </c>
      <c r="H110" s="9"/>
    </row>
    <row r="111" customFormat="false" ht="15" hidden="false" customHeight="false" outlineLevel="0" collapsed="false">
      <c r="A111" s="9" t="s">
        <v>321</v>
      </c>
      <c r="B111" s="9" t="s">
        <v>322</v>
      </c>
      <c r="C111" s="11" t="n">
        <v>1.146</v>
      </c>
      <c r="D111" s="9"/>
      <c r="E111" s="9" t="s">
        <v>323</v>
      </c>
      <c r="F111" s="9" t="s">
        <v>141</v>
      </c>
      <c r="G111" s="9" t="s">
        <v>243</v>
      </c>
      <c r="H111" s="9"/>
    </row>
    <row r="112" customFormat="false" ht="15" hidden="false" customHeight="false" outlineLevel="0" collapsed="false">
      <c r="A112" s="9" t="s">
        <v>324</v>
      </c>
      <c r="B112" s="9" t="s">
        <v>325</v>
      </c>
      <c r="C112" s="11" t="n">
        <v>0.82819</v>
      </c>
      <c r="D112" s="9"/>
      <c r="E112" s="9" t="s">
        <v>246</v>
      </c>
      <c r="F112" s="9" t="s">
        <v>141</v>
      </c>
      <c r="G112" s="9" t="s">
        <v>243</v>
      </c>
      <c r="H112" s="9"/>
    </row>
    <row r="113" customFormat="false" ht="15" hidden="false" customHeight="false" outlineLevel="0" collapsed="false">
      <c r="A113" s="9" t="s">
        <v>326</v>
      </c>
      <c r="B113" s="9" t="s">
        <v>327</v>
      </c>
      <c r="C113" s="11" t="n">
        <v>0.26946</v>
      </c>
      <c r="D113" s="9"/>
      <c r="E113" s="9" t="s">
        <v>246</v>
      </c>
      <c r="F113" s="9" t="s">
        <v>141</v>
      </c>
      <c r="G113" s="9" t="s">
        <v>243</v>
      </c>
      <c r="H113" s="9"/>
    </row>
    <row r="114" customFormat="false" ht="15" hidden="false" customHeight="false" outlineLevel="0" collapsed="false">
      <c r="A114" s="7" t="s">
        <v>328</v>
      </c>
      <c r="B114" s="8"/>
      <c r="C114" s="8"/>
      <c r="D114" s="8"/>
      <c r="E114" s="8"/>
      <c r="F114" s="8"/>
      <c r="G114" s="8"/>
      <c r="H114" s="8"/>
    </row>
    <row r="115" customFormat="false" ht="15" hidden="false" customHeight="false" outlineLevel="0" collapsed="false">
      <c r="A115" s="9" t="s">
        <v>329</v>
      </c>
      <c r="B115" s="9" t="s">
        <v>330</v>
      </c>
      <c r="C115" s="10" t="n">
        <v>1123.4</v>
      </c>
      <c r="D115" s="9" t="s">
        <v>331</v>
      </c>
      <c r="E115" s="9" t="s">
        <v>332</v>
      </c>
      <c r="F115" s="9" t="s">
        <v>333</v>
      </c>
      <c r="G115" s="9" t="s">
        <v>35</v>
      </c>
      <c r="H115" s="9"/>
    </row>
    <row r="116" customFormat="false" ht="15" hidden="false" customHeight="false" outlineLevel="0" collapsed="false">
      <c r="A116" s="9" t="s">
        <v>334</v>
      </c>
      <c r="B116" s="9" t="s">
        <v>335</v>
      </c>
      <c r="C116" s="10" t="n">
        <v>642.8</v>
      </c>
      <c r="D116" s="9" t="s">
        <v>331</v>
      </c>
      <c r="E116" s="9" t="s">
        <v>336</v>
      </c>
      <c r="F116" s="9" t="s">
        <v>337</v>
      </c>
      <c r="G116" s="9" t="s">
        <v>35</v>
      </c>
      <c r="H116" s="9"/>
    </row>
    <row r="117" customFormat="false" ht="15" hidden="false" customHeight="false" outlineLevel="0" collapsed="false">
      <c r="A117" s="9" t="s">
        <v>338</v>
      </c>
      <c r="B117" s="9" t="s">
        <v>339</v>
      </c>
      <c r="C117" s="12" t="n">
        <v>0.18</v>
      </c>
      <c r="D117" s="9" t="s">
        <v>171</v>
      </c>
      <c r="E117" s="9" t="s">
        <v>336</v>
      </c>
      <c r="F117" s="9" t="s">
        <v>337</v>
      </c>
      <c r="G117" s="9" t="s">
        <v>35</v>
      </c>
      <c r="H117" s="9"/>
    </row>
    <row r="118" customFormat="false" ht="15" hidden="false" customHeight="false" outlineLevel="0" collapsed="false">
      <c r="A118" s="9" t="s">
        <v>340</v>
      </c>
      <c r="B118" s="9" t="s">
        <v>341</v>
      </c>
      <c r="C118" s="10" t="n">
        <v>531.1</v>
      </c>
      <c r="D118" s="9" t="s">
        <v>331</v>
      </c>
      <c r="E118" s="9" t="s">
        <v>332</v>
      </c>
      <c r="F118" s="9" t="s">
        <v>333</v>
      </c>
      <c r="G118" s="9" t="s">
        <v>35</v>
      </c>
      <c r="H118" s="9"/>
    </row>
    <row r="119" customFormat="false" ht="15" hidden="false" customHeight="false" outlineLevel="0" collapsed="false">
      <c r="A119" s="9" t="s">
        <v>342</v>
      </c>
      <c r="B119" s="9" t="s">
        <v>343</v>
      </c>
      <c r="C119" s="10" t="n">
        <v>535.8</v>
      </c>
      <c r="D119" s="9" t="s">
        <v>331</v>
      </c>
      <c r="E119" s="9" t="s">
        <v>332</v>
      </c>
      <c r="F119" s="9" t="s">
        <v>333</v>
      </c>
      <c r="G119" s="9" t="s">
        <v>35</v>
      </c>
      <c r="H119" s="9"/>
    </row>
    <row r="120" customFormat="false" ht="15" hidden="false" customHeight="false" outlineLevel="0" collapsed="false">
      <c r="A120" s="9" t="s">
        <v>344</v>
      </c>
      <c r="B120" s="9" t="s">
        <v>345</v>
      </c>
      <c r="C120" s="10" t="n">
        <v>115.3</v>
      </c>
      <c r="D120" s="9" t="s">
        <v>346</v>
      </c>
      <c r="E120" s="9" t="s">
        <v>332</v>
      </c>
      <c r="F120" s="9" t="s">
        <v>333</v>
      </c>
      <c r="G120" s="9" t="s">
        <v>35</v>
      </c>
      <c r="H120" s="9"/>
    </row>
    <row r="121" customFormat="false" ht="15" hidden="false" customHeight="false" outlineLevel="0" collapsed="false">
      <c r="A121" s="9" t="s">
        <v>347</v>
      </c>
      <c r="B121" s="9" t="s">
        <v>348</v>
      </c>
      <c r="C121" s="10" t="n">
        <v>1337.92</v>
      </c>
      <c r="D121" s="9" t="s">
        <v>346</v>
      </c>
      <c r="E121" s="9" t="s">
        <v>349</v>
      </c>
      <c r="F121" s="9" t="s">
        <v>350</v>
      </c>
      <c r="G121" s="9" t="s">
        <v>243</v>
      </c>
      <c r="H121" s="9"/>
    </row>
    <row r="122" customFormat="false" ht="15" hidden="false" customHeight="false" outlineLevel="0" collapsed="false">
      <c r="A122" s="9" t="s">
        <v>351</v>
      </c>
      <c r="B122" s="9" t="s">
        <v>352</v>
      </c>
      <c r="C122" s="10" t="n">
        <v>4410</v>
      </c>
      <c r="D122" s="9" t="s">
        <v>331</v>
      </c>
      <c r="E122" s="9" t="s">
        <v>246</v>
      </c>
      <c r="F122" s="9" t="s">
        <v>141</v>
      </c>
      <c r="G122" s="9" t="s">
        <v>243</v>
      </c>
      <c r="H122" s="9"/>
    </row>
    <row r="123" customFormat="false" ht="15" hidden="false" customHeight="false" outlineLevel="0" collapsed="false">
      <c r="A123" s="9" t="s">
        <v>353</v>
      </c>
      <c r="B123" s="9" t="s">
        <v>354</v>
      </c>
      <c r="C123" s="11" t="n">
        <v>0.8436</v>
      </c>
      <c r="D123" s="9" t="s">
        <v>106</v>
      </c>
      <c r="E123" s="9" t="s">
        <v>336</v>
      </c>
      <c r="F123" s="9" t="s">
        <v>337</v>
      </c>
      <c r="G123" s="9" t="s">
        <v>355</v>
      </c>
      <c r="H123" s="9"/>
    </row>
    <row r="124" customFormat="false" ht="15" hidden="false" customHeight="false" outlineLevel="0" collapsed="false">
      <c r="A124" s="9" t="s">
        <v>356</v>
      </c>
      <c r="B124" s="9" t="s">
        <v>357</v>
      </c>
      <c r="C124" s="11" t="n">
        <v>21.5</v>
      </c>
      <c r="D124" s="9" t="s">
        <v>358</v>
      </c>
      <c r="E124" s="9" t="s">
        <v>359</v>
      </c>
      <c r="F124" s="9" t="s">
        <v>337</v>
      </c>
      <c r="G124" s="9" t="s">
        <v>35</v>
      </c>
      <c r="H124" s="9"/>
    </row>
    <row r="125" customFormat="false" ht="15" hidden="false" customHeight="false" outlineLevel="0" collapsed="false">
      <c r="A125" s="9" t="s">
        <v>360</v>
      </c>
      <c r="B125" s="9" t="s">
        <v>361</v>
      </c>
      <c r="C125" s="10" t="n">
        <v>792</v>
      </c>
      <c r="D125" s="9" t="s">
        <v>32</v>
      </c>
      <c r="E125" s="9" t="s">
        <v>154</v>
      </c>
      <c r="F125" s="9" t="s">
        <v>362</v>
      </c>
      <c r="G125" s="9" t="s">
        <v>35</v>
      </c>
      <c r="H125" s="9"/>
    </row>
    <row r="126" customFormat="false" ht="15" hidden="false" customHeight="false" outlineLevel="0" collapsed="false">
      <c r="A126" s="9" t="s">
        <v>363</v>
      </c>
      <c r="B126" s="9" t="s">
        <v>364</v>
      </c>
      <c r="C126" s="10" t="n">
        <v>463</v>
      </c>
      <c r="D126" s="9" t="s">
        <v>32</v>
      </c>
      <c r="E126" s="9" t="s">
        <v>336</v>
      </c>
      <c r="F126" s="9" t="s">
        <v>365</v>
      </c>
      <c r="G126" s="9" t="s">
        <v>35</v>
      </c>
      <c r="H126" s="9"/>
    </row>
    <row r="127" customFormat="false" ht="15" hidden="false" customHeight="false" outlineLevel="0" collapsed="false">
      <c r="A127" s="9" t="s">
        <v>366</v>
      </c>
      <c r="B127" s="9" t="s">
        <v>367</v>
      </c>
      <c r="C127" s="12" t="n">
        <v>0.12</v>
      </c>
      <c r="D127" s="9" t="s">
        <v>171</v>
      </c>
      <c r="E127" s="9" t="s">
        <v>336</v>
      </c>
      <c r="F127" s="9" t="s">
        <v>365</v>
      </c>
      <c r="G127" s="9" t="s">
        <v>35</v>
      </c>
      <c r="H127" s="9"/>
    </row>
    <row r="128" customFormat="false" ht="15" hidden="false" customHeight="false" outlineLevel="0" collapsed="false">
      <c r="A128" s="9" t="s">
        <v>368</v>
      </c>
      <c r="B128" s="9" t="s">
        <v>369</v>
      </c>
      <c r="C128" s="10" t="n">
        <v>348</v>
      </c>
      <c r="D128" s="9" t="s">
        <v>32</v>
      </c>
      <c r="E128" s="9" t="s">
        <v>154</v>
      </c>
      <c r="F128" s="9" t="s">
        <v>370</v>
      </c>
      <c r="G128" s="9" t="s">
        <v>35</v>
      </c>
      <c r="H128" s="9"/>
    </row>
    <row r="129" customFormat="false" ht="15" hidden="false" customHeight="false" outlineLevel="0" collapsed="false">
      <c r="A129" s="9" t="s">
        <v>371</v>
      </c>
      <c r="B129" s="9" t="s">
        <v>372</v>
      </c>
      <c r="C129" s="10" t="n">
        <v>187.5</v>
      </c>
      <c r="D129" s="9" t="s">
        <v>32</v>
      </c>
      <c r="E129" s="9" t="s">
        <v>336</v>
      </c>
      <c r="F129" s="9" t="s">
        <v>365</v>
      </c>
      <c r="G129" s="9" t="s">
        <v>35</v>
      </c>
      <c r="H129" s="9"/>
    </row>
    <row r="130" customFormat="false" ht="15" hidden="false" customHeight="false" outlineLevel="0" collapsed="false">
      <c r="A130" s="9" t="s">
        <v>373</v>
      </c>
      <c r="B130" s="9" t="s">
        <v>374</v>
      </c>
      <c r="C130" s="12" t="n">
        <v>0.01</v>
      </c>
      <c r="D130" s="9" t="s">
        <v>171</v>
      </c>
      <c r="E130" s="9" t="s">
        <v>336</v>
      </c>
      <c r="F130" s="9" t="s">
        <v>365</v>
      </c>
      <c r="G130" s="9" t="s">
        <v>35</v>
      </c>
      <c r="H130" s="9"/>
    </row>
    <row r="131" customFormat="false" ht="15" hidden="false" customHeight="false" outlineLevel="0" collapsed="false">
      <c r="A131" s="9" t="s">
        <v>375</v>
      </c>
      <c r="B131" s="9" t="s">
        <v>376</v>
      </c>
      <c r="C131" s="10" t="n">
        <v>281.3</v>
      </c>
      <c r="D131" s="9" t="s">
        <v>32</v>
      </c>
      <c r="E131" s="9" t="s">
        <v>154</v>
      </c>
      <c r="F131" s="9" t="s">
        <v>370</v>
      </c>
      <c r="G131" s="9" t="s">
        <v>35</v>
      </c>
      <c r="H131" s="9"/>
    </row>
    <row r="132" customFormat="false" ht="15" hidden="false" customHeight="false" outlineLevel="0" collapsed="false">
      <c r="A132" s="9" t="s">
        <v>377</v>
      </c>
      <c r="B132" s="9" t="s">
        <v>378</v>
      </c>
      <c r="C132" s="10" t="n">
        <v>2520</v>
      </c>
      <c r="D132" s="9" t="s">
        <v>331</v>
      </c>
      <c r="E132" s="9" t="s">
        <v>379</v>
      </c>
      <c r="F132" s="9" t="s">
        <v>380</v>
      </c>
      <c r="G132" s="9" t="s">
        <v>243</v>
      </c>
      <c r="H132" s="9"/>
    </row>
    <row r="133" customFormat="false" ht="15" hidden="false" customHeight="false" outlineLevel="0" collapsed="false">
      <c r="A133" s="9" t="s">
        <v>381</v>
      </c>
      <c r="B133" s="9" t="s">
        <v>382</v>
      </c>
      <c r="C133" s="10" t="n">
        <v>800</v>
      </c>
      <c r="D133" s="9" t="s">
        <v>32</v>
      </c>
      <c r="E133" s="9" t="s">
        <v>250</v>
      </c>
      <c r="F133" s="9" t="s">
        <v>370</v>
      </c>
      <c r="G133" s="9" t="s">
        <v>35</v>
      </c>
      <c r="H133" s="9"/>
    </row>
    <row r="134" customFormat="false" ht="15" hidden="false" customHeight="false" outlineLevel="0" collapsed="false">
      <c r="A134" s="9" t="s">
        <v>383</v>
      </c>
      <c r="B134" s="9" t="s">
        <v>384</v>
      </c>
      <c r="C134" s="11" t="n">
        <v>0.197</v>
      </c>
      <c r="D134" s="9" t="s">
        <v>106</v>
      </c>
      <c r="E134" s="9" t="s">
        <v>336</v>
      </c>
      <c r="F134" s="9" t="s">
        <v>365</v>
      </c>
      <c r="G134" s="9" t="s">
        <v>35</v>
      </c>
      <c r="H134" s="9"/>
    </row>
    <row r="135" customFormat="false" ht="15" hidden="false" customHeight="false" outlineLevel="0" collapsed="false">
      <c r="A135" s="9" t="s">
        <v>385</v>
      </c>
      <c r="B135" s="9" t="s">
        <v>386</v>
      </c>
      <c r="C135" s="11" t="n">
        <v>3.4</v>
      </c>
      <c r="D135" s="9" t="s">
        <v>123</v>
      </c>
      <c r="E135" s="9" t="s">
        <v>336</v>
      </c>
      <c r="F135" s="9" t="s">
        <v>365</v>
      </c>
      <c r="G135" s="9" t="s">
        <v>35</v>
      </c>
      <c r="H135" s="9"/>
    </row>
    <row r="136" customFormat="false" ht="15" hidden="false" customHeight="false" outlineLevel="0" collapsed="false">
      <c r="A136" s="9" t="s">
        <v>387</v>
      </c>
      <c r="B136" s="9" t="s">
        <v>388</v>
      </c>
      <c r="C136" s="10" t="n">
        <v>571</v>
      </c>
      <c r="D136" s="9" t="s">
        <v>32</v>
      </c>
      <c r="E136" s="9" t="s">
        <v>154</v>
      </c>
      <c r="F136" s="9" t="s">
        <v>389</v>
      </c>
      <c r="G136" s="9" t="s">
        <v>35</v>
      </c>
      <c r="H136" s="9"/>
    </row>
    <row r="137" customFormat="false" ht="15" hidden="false" customHeight="false" outlineLevel="0" collapsed="false">
      <c r="A137" s="9" t="s">
        <v>390</v>
      </c>
      <c r="B137" s="9" t="s">
        <v>391</v>
      </c>
      <c r="C137" s="10" t="n">
        <v>159.9</v>
      </c>
      <c r="D137" s="9" t="s">
        <v>32</v>
      </c>
      <c r="E137" s="9" t="s">
        <v>392</v>
      </c>
      <c r="F137" s="9" t="s">
        <v>393</v>
      </c>
      <c r="G137" s="9" t="s">
        <v>35</v>
      </c>
      <c r="H137" s="9"/>
    </row>
    <row r="138" customFormat="false" ht="15" hidden="false" customHeight="false" outlineLevel="0" collapsed="false">
      <c r="A138" s="9" t="s">
        <v>394</v>
      </c>
      <c r="B138" s="9" t="s">
        <v>395</v>
      </c>
      <c r="C138" s="10" t="n">
        <v>117.4</v>
      </c>
      <c r="D138" s="9" t="s">
        <v>32</v>
      </c>
      <c r="E138" s="9" t="s">
        <v>396</v>
      </c>
      <c r="F138" s="9" t="s">
        <v>141</v>
      </c>
      <c r="G138" s="9" t="s">
        <v>35</v>
      </c>
      <c r="H138" s="9"/>
    </row>
    <row r="139" customFormat="false" ht="15" hidden="false" customHeight="false" outlineLevel="0" collapsed="false">
      <c r="A139" s="9" t="s">
        <v>397</v>
      </c>
      <c r="B139" s="9" t="s">
        <v>398</v>
      </c>
      <c r="C139" s="10" t="n">
        <v>198.8</v>
      </c>
      <c r="D139" s="9" t="s">
        <v>32</v>
      </c>
      <c r="E139" s="9" t="s">
        <v>213</v>
      </c>
      <c r="F139" s="9" t="s">
        <v>399</v>
      </c>
      <c r="G139" s="9" t="s">
        <v>35</v>
      </c>
      <c r="H139" s="9"/>
    </row>
    <row r="140" customFormat="false" ht="15" hidden="false" customHeight="false" outlineLevel="0" collapsed="false">
      <c r="A140" s="9" t="s">
        <v>400</v>
      </c>
      <c r="B140" s="9" t="s">
        <v>401</v>
      </c>
      <c r="C140" s="12" t="n">
        <v>0.51</v>
      </c>
      <c r="D140" s="9" t="s">
        <v>171</v>
      </c>
      <c r="E140" s="9" t="s">
        <v>213</v>
      </c>
      <c r="F140" s="9" t="s">
        <v>399</v>
      </c>
      <c r="G140" s="9" t="s">
        <v>35</v>
      </c>
      <c r="H140" s="9"/>
    </row>
    <row r="141" customFormat="false" ht="15" hidden="false" customHeight="false" outlineLevel="0" collapsed="false">
      <c r="A141" s="9" t="s">
        <v>402</v>
      </c>
      <c r="B141" s="9" t="s">
        <v>403</v>
      </c>
      <c r="C141" s="11" t="n">
        <v>62.6</v>
      </c>
      <c r="D141" s="9" t="s">
        <v>32</v>
      </c>
      <c r="E141" s="9" t="s">
        <v>213</v>
      </c>
      <c r="F141" s="9" t="s">
        <v>399</v>
      </c>
      <c r="G141" s="9" t="s">
        <v>35</v>
      </c>
      <c r="H141" s="9"/>
    </row>
    <row r="142" customFormat="false" ht="15" hidden="false" customHeight="false" outlineLevel="0" collapsed="false">
      <c r="A142" s="9" t="s">
        <v>404</v>
      </c>
      <c r="B142" s="9" t="s">
        <v>405</v>
      </c>
      <c r="C142" s="11" t="n">
        <v>24.36</v>
      </c>
      <c r="D142" s="9" t="s">
        <v>32</v>
      </c>
      <c r="E142" s="9" t="s">
        <v>213</v>
      </c>
      <c r="F142" s="9" t="s">
        <v>399</v>
      </c>
      <c r="G142" s="9" t="s">
        <v>35</v>
      </c>
      <c r="H142" s="9"/>
    </row>
    <row r="143" customFormat="false" ht="15" hidden="false" customHeight="false" outlineLevel="0" collapsed="false">
      <c r="A143" s="9" t="s">
        <v>406</v>
      </c>
      <c r="B143" s="9" t="s">
        <v>407</v>
      </c>
      <c r="C143" s="10" t="n">
        <v>4380</v>
      </c>
      <c r="D143" s="9" t="s">
        <v>32</v>
      </c>
      <c r="E143" s="9" t="s">
        <v>246</v>
      </c>
      <c r="F143" s="9" t="s">
        <v>408</v>
      </c>
      <c r="G143" s="9" t="s">
        <v>243</v>
      </c>
      <c r="H143" s="9"/>
    </row>
    <row r="144" customFormat="false" ht="15" hidden="false" customHeight="false" outlineLevel="0" collapsed="false">
      <c r="A144" s="9" t="s">
        <v>409</v>
      </c>
      <c r="B144" s="9" t="s">
        <v>410</v>
      </c>
      <c r="C144" s="11" t="n">
        <v>5.13</v>
      </c>
      <c r="D144" s="9" t="s">
        <v>106</v>
      </c>
      <c r="E144" s="9" t="s">
        <v>213</v>
      </c>
      <c r="F144" s="9" t="s">
        <v>399</v>
      </c>
      <c r="G144" s="9" t="s">
        <v>35</v>
      </c>
      <c r="H144" s="9"/>
    </row>
    <row r="145" customFormat="false" ht="15" hidden="false" customHeight="false" outlineLevel="0" collapsed="false">
      <c r="A145" s="9" t="s">
        <v>411</v>
      </c>
      <c r="B145" s="9" t="s">
        <v>412</v>
      </c>
      <c r="C145" s="11" t="n">
        <v>28.5</v>
      </c>
      <c r="D145" s="9" t="s">
        <v>123</v>
      </c>
      <c r="E145" s="9" t="s">
        <v>213</v>
      </c>
      <c r="F145" s="9" t="s">
        <v>399</v>
      </c>
      <c r="G145" s="9" t="s">
        <v>35</v>
      </c>
      <c r="H145" s="9"/>
    </row>
    <row r="146" customFormat="false" ht="15" hidden="false" customHeight="false" outlineLevel="0" collapsed="false">
      <c r="A146" s="9" t="s">
        <v>413</v>
      </c>
      <c r="B146" s="9" t="s">
        <v>414</v>
      </c>
      <c r="C146" s="10" t="n">
        <v>2150</v>
      </c>
      <c r="D146" s="9" t="s">
        <v>415</v>
      </c>
      <c r="E146" s="9" t="s">
        <v>154</v>
      </c>
      <c r="F146" s="9" t="s">
        <v>416</v>
      </c>
      <c r="G146" s="9" t="s">
        <v>35</v>
      </c>
      <c r="H146" s="9"/>
    </row>
    <row r="147" customFormat="false" ht="15" hidden="false" customHeight="false" outlineLevel="0" collapsed="false">
      <c r="A147" s="9" t="s">
        <v>417</v>
      </c>
      <c r="B147" s="9" t="s">
        <v>418</v>
      </c>
      <c r="C147" s="10" t="n">
        <v>2086.3</v>
      </c>
      <c r="D147" s="9" t="s">
        <v>415</v>
      </c>
      <c r="E147" s="9" t="s">
        <v>336</v>
      </c>
      <c r="F147" s="9" t="s">
        <v>419</v>
      </c>
      <c r="G147" s="9" t="s">
        <v>35</v>
      </c>
      <c r="H147" s="9"/>
    </row>
    <row r="148" customFormat="false" ht="15" hidden="false" customHeight="false" outlineLevel="0" collapsed="false">
      <c r="A148" s="9" t="s">
        <v>420</v>
      </c>
      <c r="B148" s="9" t="s">
        <v>421</v>
      </c>
      <c r="C148" s="12" t="n">
        <v>0.797</v>
      </c>
      <c r="D148" s="9" t="s">
        <v>171</v>
      </c>
      <c r="E148" s="9" t="s">
        <v>336</v>
      </c>
      <c r="F148" s="9" t="s">
        <v>419</v>
      </c>
      <c r="G148" s="9" t="s">
        <v>35</v>
      </c>
      <c r="H148" s="9"/>
    </row>
    <row r="149" customFormat="false" ht="15" hidden="false" customHeight="false" outlineLevel="0" collapsed="false">
      <c r="A149" s="9" t="s">
        <v>422</v>
      </c>
      <c r="B149" s="9" t="s">
        <v>423</v>
      </c>
      <c r="C149" s="10" t="n">
        <v>643.8</v>
      </c>
      <c r="D149" s="9" t="s">
        <v>415</v>
      </c>
      <c r="E149" s="9" t="s">
        <v>154</v>
      </c>
      <c r="F149" s="9" t="s">
        <v>424</v>
      </c>
      <c r="G149" s="9" t="s">
        <v>35</v>
      </c>
      <c r="H149" s="9"/>
    </row>
    <row r="150" customFormat="false" ht="15" hidden="false" customHeight="false" outlineLevel="0" collapsed="false">
      <c r="A150" s="9" t="s">
        <v>425</v>
      </c>
      <c r="B150" s="9" t="s">
        <v>426</v>
      </c>
      <c r="C150" s="10" t="n">
        <v>1027.2</v>
      </c>
      <c r="D150" s="9" t="s">
        <v>415</v>
      </c>
      <c r="E150" s="9" t="s">
        <v>336</v>
      </c>
      <c r="F150" s="9" t="s">
        <v>419</v>
      </c>
      <c r="G150" s="9" t="s">
        <v>35</v>
      </c>
      <c r="H150" s="9"/>
    </row>
    <row r="151" customFormat="false" ht="15" hidden="false" customHeight="false" outlineLevel="0" collapsed="false">
      <c r="A151" s="9" t="s">
        <v>427</v>
      </c>
      <c r="B151" s="9" t="s">
        <v>428</v>
      </c>
      <c r="C151" s="12" t="n">
        <v>1.505</v>
      </c>
      <c r="D151" s="9" t="s">
        <v>171</v>
      </c>
      <c r="E151" s="9" t="s">
        <v>336</v>
      </c>
      <c r="F151" s="9" t="s">
        <v>419</v>
      </c>
      <c r="G151" s="9" t="s">
        <v>35</v>
      </c>
      <c r="H151" s="9"/>
    </row>
    <row r="152" customFormat="false" ht="15" hidden="false" customHeight="false" outlineLevel="0" collapsed="false">
      <c r="A152" s="9" t="s">
        <v>429</v>
      </c>
      <c r="B152" s="9" t="s">
        <v>430</v>
      </c>
      <c r="C152" s="10" t="n">
        <v>1216</v>
      </c>
      <c r="D152" s="9" t="s">
        <v>415</v>
      </c>
      <c r="E152" s="9" t="s">
        <v>336</v>
      </c>
      <c r="F152" s="9" t="s">
        <v>419</v>
      </c>
      <c r="G152" s="9" t="s">
        <v>35</v>
      </c>
      <c r="H152" s="9"/>
    </row>
    <row r="153" customFormat="false" ht="15" hidden="false" customHeight="false" outlineLevel="0" collapsed="false">
      <c r="A153" s="9" t="s">
        <v>431</v>
      </c>
      <c r="B153" s="9" t="s">
        <v>432</v>
      </c>
      <c r="C153" s="10" t="n">
        <v>18360</v>
      </c>
      <c r="D153" s="9" t="s">
        <v>415</v>
      </c>
      <c r="E153" s="9" t="s">
        <v>319</v>
      </c>
      <c r="F153" s="9" t="s">
        <v>433</v>
      </c>
      <c r="G153" s="9" t="s">
        <v>243</v>
      </c>
      <c r="H153" s="9"/>
    </row>
    <row r="154" customFormat="false" ht="15" hidden="false" customHeight="false" outlineLevel="0" collapsed="false">
      <c r="A154" s="9" t="s">
        <v>434</v>
      </c>
      <c r="B154" s="9" t="s">
        <v>435</v>
      </c>
      <c r="C154" s="11" t="n">
        <v>1.49</v>
      </c>
      <c r="D154" s="9" t="s">
        <v>106</v>
      </c>
      <c r="E154" s="9" t="s">
        <v>336</v>
      </c>
      <c r="F154" s="9" t="s">
        <v>419</v>
      </c>
      <c r="G154" s="9" t="s">
        <v>35</v>
      </c>
      <c r="H154" s="9"/>
    </row>
    <row r="155" customFormat="false" ht="15" hidden="false" customHeight="false" outlineLevel="0" collapsed="false">
      <c r="A155" s="9" t="s">
        <v>436</v>
      </c>
      <c r="B155" s="9" t="s">
        <v>437</v>
      </c>
      <c r="C155" s="11" t="n">
        <v>2.83</v>
      </c>
      <c r="D155" s="9" t="s">
        <v>106</v>
      </c>
      <c r="E155" s="9" t="s">
        <v>336</v>
      </c>
      <c r="F155" s="9" t="s">
        <v>419</v>
      </c>
      <c r="G155" s="9" t="s">
        <v>35</v>
      </c>
      <c r="H155" s="9"/>
    </row>
    <row r="156" customFormat="false" ht="15" hidden="false" customHeight="false" outlineLevel="0" collapsed="false">
      <c r="A156" s="9" t="s">
        <v>438</v>
      </c>
      <c r="B156" s="9" t="s">
        <v>439</v>
      </c>
      <c r="C156" s="10" t="n">
        <v>277.6</v>
      </c>
      <c r="D156" s="9" t="s">
        <v>331</v>
      </c>
      <c r="E156" s="9" t="s">
        <v>154</v>
      </c>
      <c r="F156" s="9" t="s">
        <v>440</v>
      </c>
      <c r="G156" s="9" t="s">
        <v>441</v>
      </c>
      <c r="H156" s="9"/>
    </row>
    <row r="157" customFormat="false" ht="15" hidden="false" customHeight="false" outlineLevel="0" collapsed="false">
      <c r="A157" s="9" t="s">
        <v>442</v>
      </c>
      <c r="B157" s="9" t="s">
        <v>443</v>
      </c>
      <c r="C157" s="10" t="n">
        <v>161.7</v>
      </c>
      <c r="D157" s="9" t="s">
        <v>331</v>
      </c>
      <c r="E157" s="9" t="s">
        <v>151</v>
      </c>
      <c r="F157" s="9" t="s">
        <v>440</v>
      </c>
      <c r="G157" s="9" t="s">
        <v>441</v>
      </c>
      <c r="H157" s="9"/>
    </row>
    <row r="158" customFormat="false" ht="15" hidden="false" customHeight="false" outlineLevel="0" collapsed="false">
      <c r="A158" s="9" t="s">
        <v>444</v>
      </c>
      <c r="B158" s="9" t="s">
        <v>445</v>
      </c>
      <c r="C158" s="10" t="n">
        <v>123.1</v>
      </c>
      <c r="D158" s="9" t="s">
        <v>331</v>
      </c>
      <c r="E158" s="9" t="s">
        <v>154</v>
      </c>
      <c r="F158" s="9" t="s">
        <v>440</v>
      </c>
      <c r="G158" s="9" t="s">
        <v>441</v>
      </c>
      <c r="H158" s="9"/>
    </row>
    <row r="159" customFormat="false" ht="15" hidden="false" customHeight="false" outlineLevel="0" collapsed="false">
      <c r="A159" s="9" t="s">
        <v>446</v>
      </c>
      <c r="B159" s="9" t="s">
        <v>447</v>
      </c>
      <c r="C159" s="11" t="n">
        <v>92.2</v>
      </c>
      <c r="D159" s="9" t="s">
        <v>331</v>
      </c>
      <c r="E159" s="9" t="s">
        <v>154</v>
      </c>
      <c r="F159" s="9" t="s">
        <v>440</v>
      </c>
      <c r="G159" s="9" t="s">
        <v>441</v>
      </c>
      <c r="H159" s="9"/>
    </row>
    <row r="160" customFormat="false" ht="15" hidden="false" customHeight="false" outlineLevel="0" collapsed="false">
      <c r="A160" s="9" t="s">
        <v>448</v>
      </c>
      <c r="B160" s="9" t="s">
        <v>449</v>
      </c>
      <c r="C160" s="11" t="n">
        <v>4.5</v>
      </c>
      <c r="D160" s="9" t="s">
        <v>106</v>
      </c>
      <c r="E160" s="9" t="s">
        <v>246</v>
      </c>
      <c r="F160" s="9" t="s">
        <v>450</v>
      </c>
      <c r="G160" s="9" t="s">
        <v>35</v>
      </c>
      <c r="H160" s="9"/>
    </row>
    <row r="161" customFormat="false" ht="15" hidden="false" customHeight="false" outlineLevel="0" collapsed="false">
      <c r="A161" s="9" t="s">
        <v>451</v>
      </c>
      <c r="B161" s="9" t="s">
        <v>452</v>
      </c>
      <c r="C161" s="11" t="n">
        <v>32.49</v>
      </c>
      <c r="D161" s="9" t="s">
        <v>358</v>
      </c>
      <c r="E161" s="9" t="s">
        <v>250</v>
      </c>
      <c r="F161" s="9" t="s">
        <v>440</v>
      </c>
      <c r="G161" s="9" t="s">
        <v>35</v>
      </c>
      <c r="H161" s="9"/>
    </row>
    <row r="162" customFormat="false" ht="15" hidden="false" customHeight="false" outlineLevel="0" collapsed="false">
      <c r="A162" s="9" t="s">
        <v>453</v>
      </c>
      <c r="B162" s="9" t="s">
        <v>454</v>
      </c>
      <c r="C162" s="10" t="n">
        <v>723.3</v>
      </c>
      <c r="D162" s="9" t="s">
        <v>455</v>
      </c>
      <c r="E162" s="9" t="s">
        <v>154</v>
      </c>
      <c r="F162" s="9" t="s">
        <v>456</v>
      </c>
      <c r="G162" s="9" t="s">
        <v>35</v>
      </c>
      <c r="H162" s="9"/>
    </row>
    <row r="163" customFormat="false" ht="15" hidden="false" customHeight="false" outlineLevel="0" collapsed="false">
      <c r="A163" s="9" t="s">
        <v>457</v>
      </c>
      <c r="B163" s="9" t="s">
        <v>458</v>
      </c>
      <c r="C163" s="10" t="n">
        <v>358</v>
      </c>
      <c r="D163" s="9" t="s">
        <v>455</v>
      </c>
      <c r="E163" s="9" t="s">
        <v>459</v>
      </c>
      <c r="F163" s="9" t="s">
        <v>460</v>
      </c>
      <c r="G163" s="9" t="s">
        <v>35</v>
      </c>
      <c r="H163" s="9"/>
    </row>
    <row r="164" customFormat="false" ht="15" hidden="false" customHeight="false" outlineLevel="0" collapsed="false">
      <c r="A164" s="9" t="s">
        <v>461</v>
      </c>
      <c r="B164" s="9" t="s">
        <v>462</v>
      </c>
      <c r="C164" s="10" t="n">
        <v>364.2</v>
      </c>
      <c r="D164" s="9" t="s">
        <v>455</v>
      </c>
      <c r="E164" s="9" t="s">
        <v>336</v>
      </c>
      <c r="F164" s="9" t="s">
        <v>463</v>
      </c>
      <c r="G164" s="9" t="s">
        <v>35</v>
      </c>
      <c r="H164" s="9"/>
    </row>
    <row r="165" customFormat="false" ht="15" hidden="false" customHeight="false" outlineLevel="0" collapsed="false">
      <c r="A165" s="9" t="s">
        <v>464</v>
      </c>
      <c r="B165" s="9" t="s">
        <v>465</v>
      </c>
      <c r="C165" s="10" t="n">
        <v>420.2</v>
      </c>
      <c r="D165" s="9" t="s">
        <v>455</v>
      </c>
      <c r="E165" s="9" t="s">
        <v>154</v>
      </c>
      <c r="F165" s="9" t="s">
        <v>424</v>
      </c>
      <c r="G165" s="9" t="s">
        <v>35</v>
      </c>
      <c r="H165" s="9"/>
    </row>
    <row r="166" customFormat="false" ht="15" hidden="false" customHeight="false" outlineLevel="0" collapsed="false">
      <c r="A166" s="9" t="s">
        <v>466</v>
      </c>
      <c r="B166" s="9" t="s">
        <v>467</v>
      </c>
      <c r="C166" s="10" t="n">
        <v>158</v>
      </c>
      <c r="D166" s="9" t="s">
        <v>455</v>
      </c>
      <c r="E166" s="9" t="s">
        <v>459</v>
      </c>
      <c r="F166" s="9" t="s">
        <v>468</v>
      </c>
      <c r="G166" s="9" t="s">
        <v>35</v>
      </c>
      <c r="H166" s="9"/>
    </row>
    <row r="167" customFormat="false" ht="15" hidden="false" customHeight="false" outlineLevel="0" collapsed="false">
      <c r="A167" s="9" t="s">
        <v>469</v>
      </c>
      <c r="B167" s="9" t="s">
        <v>470</v>
      </c>
      <c r="C167" s="10" t="n">
        <v>153.6</v>
      </c>
      <c r="D167" s="9" t="s">
        <v>455</v>
      </c>
      <c r="E167" s="9" t="s">
        <v>336</v>
      </c>
      <c r="F167" s="9" t="s">
        <v>463</v>
      </c>
      <c r="G167" s="9" t="s">
        <v>35</v>
      </c>
      <c r="H167" s="9"/>
    </row>
    <row r="168" customFormat="false" ht="15" hidden="false" customHeight="false" outlineLevel="0" collapsed="false">
      <c r="A168" s="9" t="s">
        <v>471</v>
      </c>
      <c r="B168" s="9" t="s">
        <v>472</v>
      </c>
      <c r="C168" s="11" t="n">
        <v>36.98</v>
      </c>
      <c r="D168" s="9" t="s">
        <v>473</v>
      </c>
      <c r="E168" s="9" t="s">
        <v>241</v>
      </c>
      <c r="F168" s="9" t="s">
        <v>474</v>
      </c>
      <c r="G168" s="9" t="s">
        <v>243</v>
      </c>
      <c r="H168" s="9"/>
    </row>
    <row r="169" customFormat="false" ht="15" hidden="false" customHeight="false" outlineLevel="0" collapsed="false">
      <c r="A169" s="9" t="s">
        <v>475</v>
      </c>
      <c r="B169" s="9" t="s">
        <v>476</v>
      </c>
      <c r="C169" s="10" t="n">
        <v>149.88</v>
      </c>
      <c r="D169" s="9" t="s">
        <v>106</v>
      </c>
      <c r="E169" s="9" t="s">
        <v>246</v>
      </c>
      <c r="F169" s="9" t="s">
        <v>141</v>
      </c>
      <c r="G169" s="9" t="s">
        <v>243</v>
      </c>
      <c r="H169" s="9"/>
    </row>
    <row r="170" customFormat="false" ht="15" hidden="false" customHeight="false" outlineLevel="0" collapsed="false">
      <c r="A170" s="9" t="s">
        <v>477</v>
      </c>
      <c r="B170" s="9" t="s">
        <v>478</v>
      </c>
      <c r="C170" s="11" t="n">
        <v>1.2</v>
      </c>
      <c r="D170" s="9" t="s">
        <v>106</v>
      </c>
      <c r="E170" s="9" t="s">
        <v>336</v>
      </c>
      <c r="F170" s="9" t="s">
        <v>463</v>
      </c>
      <c r="G170" s="9" t="s">
        <v>35</v>
      </c>
      <c r="H170" s="9"/>
    </row>
    <row r="171" customFormat="false" ht="15" hidden="false" customHeight="false" outlineLevel="0" collapsed="false">
      <c r="A171" s="9" t="s">
        <v>479</v>
      </c>
      <c r="B171" s="9" t="s">
        <v>480</v>
      </c>
      <c r="C171" s="11" t="n">
        <v>96.3</v>
      </c>
      <c r="D171" s="9" t="s">
        <v>481</v>
      </c>
      <c r="E171" s="9" t="s">
        <v>336</v>
      </c>
      <c r="F171" s="9" t="s">
        <v>463</v>
      </c>
      <c r="G171" s="9" t="s">
        <v>35</v>
      </c>
      <c r="H171" s="9"/>
    </row>
    <row r="172" customFormat="false" ht="15" hidden="false" customHeight="false" outlineLevel="0" collapsed="false">
      <c r="A172" s="9" t="s">
        <v>482</v>
      </c>
      <c r="B172" s="9" t="s">
        <v>483</v>
      </c>
      <c r="C172" s="12" t="n">
        <v>0.502</v>
      </c>
      <c r="D172" s="9" t="s">
        <v>171</v>
      </c>
      <c r="E172" s="9" t="s">
        <v>336</v>
      </c>
      <c r="F172" s="9" t="s">
        <v>463</v>
      </c>
      <c r="G172" s="9" t="s">
        <v>148</v>
      </c>
      <c r="H172" s="9"/>
    </row>
    <row r="173" customFormat="false" ht="15" hidden="false" customHeight="false" outlineLevel="0" collapsed="false">
      <c r="A173" s="7" t="s">
        <v>484</v>
      </c>
      <c r="B173" s="8"/>
      <c r="C173" s="8"/>
      <c r="D173" s="8"/>
      <c r="E173" s="8"/>
      <c r="F173" s="8"/>
      <c r="G173" s="8"/>
      <c r="H173" s="8"/>
    </row>
    <row r="174" customFormat="false" ht="15" hidden="false" customHeight="false" outlineLevel="0" collapsed="false">
      <c r="A174" s="9" t="s">
        <v>485</v>
      </c>
      <c r="B174" s="9" t="s">
        <v>486</v>
      </c>
      <c r="C174" s="10" t="n">
        <v>160</v>
      </c>
      <c r="D174" s="9" t="s">
        <v>331</v>
      </c>
      <c r="E174" s="9" t="s">
        <v>487</v>
      </c>
      <c r="F174" s="9" t="s">
        <v>488</v>
      </c>
      <c r="G174" s="9" t="s">
        <v>148</v>
      </c>
      <c r="H174" s="9"/>
    </row>
    <row r="175" customFormat="false" ht="15" hidden="false" customHeight="false" outlineLevel="0" collapsed="false">
      <c r="A175" s="9" t="s">
        <v>489</v>
      </c>
      <c r="B175" s="9" t="s">
        <v>490</v>
      </c>
      <c r="C175" s="11" t="n">
        <v>27.5</v>
      </c>
      <c r="D175" s="9" t="s">
        <v>331</v>
      </c>
      <c r="E175" s="9" t="s">
        <v>151</v>
      </c>
      <c r="F175" s="9" t="s">
        <v>491</v>
      </c>
      <c r="G175" s="9" t="s">
        <v>148</v>
      </c>
      <c r="H175" s="9"/>
    </row>
    <row r="176" customFormat="false" ht="15" hidden="false" customHeight="false" outlineLevel="0" collapsed="false">
      <c r="A176" s="9" t="s">
        <v>492</v>
      </c>
      <c r="B176" s="9" t="s">
        <v>493</v>
      </c>
      <c r="C176" s="11" t="n">
        <v>0.72</v>
      </c>
      <c r="D176" s="9" t="s">
        <v>106</v>
      </c>
      <c r="E176" s="9" t="s">
        <v>494</v>
      </c>
      <c r="F176" s="9" t="s">
        <v>141</v>
      </c>
      <c r="G176" s="9" t="s">
        <v>148</v>
      </c>
      <c r="H176" s="9"/>
    </row>
    <row r="177" customFormat="false" ht="15" hidden="false" customHeight="false" outlineLevel="0" collapsed="false">
      <c r="A177" s="9" t="s">
        <v>495</v>
      </c>
      <c r="B177" s="9" t="s">
        <v>496</v>
      </c>
      <c r="C177" s="10" t="n">
        <v>2500</v>
      </c>
      <c r="D177" s="9" t="s">
        <v>331</v>
      </c>
      <c r="E177" s="9" t="s">
        <v>494</v>
      </c>
      <c r="F177" s="9" t="s">
        <v>141</v>
      </c>
      <c r="G177" s="9" t="s">
        <v>148</v>
      </c>
      <c r="H177" s="9"/>
    </row>
    <row r="178" customFormat="false" ht="15" hidden="false" customHeight="false" outlineLevel="0" collapsed="false">
      <c r="A178" s="9" t="s">
        <v>497</v>
      </c>
      <c r="B178" s="9" t="s">
        <v>498</v>
      </c>
      <c r="C178" s="11" t="n">
        <v>5</v>
      </c>
      <c r="D178" s="9" t="s">
        <v>303</v>
      </c>
      <c r="E178" s="9"/>
      <c r="F178" s="9" t="s">
        <v>141</v>
      </c>
      <c r="G178" s="9" t="s">
        <v>148</v>
      </c>
      <c r="H178" s="9"/>
    </row>
    <row r="179" customFormat="false" ht="15" hidden="false" customHeight="false" outlineLevel="0" collapsed="false">
      <c r="A179" s="9" t="s">
        <v>499</v>
      </c>
      <c r="B179" s="9" t="s">
        <v>500</v>
      </c>
      <c r="C179" s="10" t="n">
        <v>319</v>
      </c>
      <c r="D179" s="9" t="s">
        <v>501</v>
      </c>
      <c r="E179" s="9" t="s">
        <v>502</v>
      </c>
      <c r="F179" s="9" t="s">
        <v>503</v>
      </c>
      <c r="G179" s="9" t="s">
        <v>148</v>
      </c>
      <c r="H179" s="9"/>
    </row>
    <row r="180" customFormat="false" ht="15" hidden="false" customHeight="false" outlineLevel="0" collapsed="false">
      <c r="A180" s="9" t="s">
        <v>504</v>
      </c>
      <c r="B180" s="9" t="s">
        <v>505</v>
      </c>
      <c r="C180" s="12" t="n">
        <v>0.198</v>
      </c>
      <c r="D180" s="9" t="s">
        <v>171</v>
      </c>
      <c r="E180" s="9"/>
      <c r="F180" s="9" t="s">
        <v>141</v>
      </c>
      <c r="G180" s="9" t="s">
        <v>148</v>
      </c>
      <c r="H180" s="9"/>
    </row>
    <row r="181" customFormat="false" ht="15" hidden="false" customHeight="false" outlineLevel="0" collapsed="false">
      <c r="A181" s="9" t="s">
        <v>506</v>
      </c>
      <c r="B181" s="9" t="s">
        <v>507</v>
      </c>
      <c r="C181" s="10" t="n">
        <v>120</v>
      </c>
      <c r="D181" s="9" t="s">
        <v>501</v>
      </c>
      <c r="E181" s="9" t="s">
        <v>154</v>
      </c>
      <c r="F181" s="9" t="s">
        <v>508</v>
      </c>
      <c r="G181" s="9" t="s">
        <v>35</v>
      </c>
      <c r="H181" s="9"/>
    </row>
    <row r="182" customFormat="false" ht="15" hidden="false" customHeight="false" outlineLevel="0" collapsed="false">
      <c r="A182" s="9" t="s">
        <v>509</v>
      </c>
      <c r="B182" s="9" t="s">
        <v>510</v>
      </c>
      <c r="C182" s="11" t="n">
        <v>1.5</v>
      </c>
      <c r="D182" s="9" t="s">
        <v>106</v>
      </c>
      <c r="E182" s="9" t="s">
        <v>154</v>
      </c>
      <c r="F182" s="9" t="s">
        <v>141</v>
      </c>
      <c r="G182" s="9" t="s">
        <v>35</v>
      </c>
      <c r="H182" s="9"/>
    </row>
    <row r="183" customFormat="false" ht="15" hidden="false" customHeight="false" outlineLevel="0" collapsed="false">
      <c r="A183" s="9" t="s">
        <v>511</v>
      </c>
      <c r="B183" s="9" t="s">
        <v>512</v>
      </c>
      <c r="C183" s="10" t="n">
        <v>133</v>
      </c>
      <c r="D183" s="9" t="s">
        <v>513</v>
      </c>
      <c r="E183" s="9" t="s">
        <v>154</v>
      </c>
      <c r="F183" s="9" t="s">
        <v>141</v>
      </c>
      <c r="G183" s="9" t="s">
        <v>35</v>
      </c>
      <c r="H183" s="9"/>
    </row>
    <row r="184" customFormat="false" ht="15" hidden="false" customHeight="false" outlineLevel="0" collapsed="false">
      <c r="A184" s="9" t="s">
        <v>514</v>
      </c>
      <c r="B184" s="9" t="s">
        <v>515</v>
      </c>
      <c r="C184" s="10" t="n">
        <v>1100</v>
      </c>
      <c r="D184" s="9" t="s">
        <v>32</v>
      </c>
      <c r="E184" s="9" t="s">
        <v>516</v>
      </c>
      <c r="F184" s="9" t="s">
        <v>517</v>
      </c>
      <c r="G184" s="9" t="s">
        <v>35</v>
      </c>
      <c r="H184" s="9"/>
    </row>
    <row r="185" customFormat="false" ht="15" hidden="false" customHeight="false" outlineLevel="0" collapsed="false">
      <c r="A185" s="9" t="s">
        <v>518</v>
      </c>
      <c r="B185" s="9" t="s">
        <v>519</v>
      </c>
      <c r="C185" s="10" t="n">
        <v>466</v>
      </c>
      <c r="D185" s="9" t="s">
        <v>32</v>
      </c>
      <c r="E185" s="9" t="s">
        <v>520</v>
      </c>
      <c r="F185" s="9" t="s">
        <v>141</v>
      </c>
      <c r="G185" s="9" t="s">
        <v>35</v>
      </c>
      <c r="H185" s="9"/>
    </row>
    <row r="186" customFormat="false" ht="15" hidden="false" customHeight="false" outlineLevel="0" collapsed="false">
      <c r="A186" s="7" t="s">
        <v>521</v>
      </c>
      <c r="B186" s="8"/>
      <c r="C186" s="8"/>
      <c r="D186" s="8"/>
      <c r="E186" s="8"/>
      <c r="F186" s="8"/>
      <c r="G186" s="8"/>
      <c r="H186" s="8"/>
    </row>
    <row r="187" customFormat="false" ht="15" hidden="false" customHeight="false" outlineLevel="0" collapsed="false">
      <c r="A187" s="9" t="s">
        <v>522</v>
      </c>
      <c r="B187" s="9" t="s">
        <v>523</v>
      </c>
      <c r="C187" s="12" t="n">
        <v>1</v>
      </c>
      <c r="D187" s="9" t="s">
        <v>171</v>
      </c>
      <c r="E187" s="9"/>
      <c r="F187" s="9" t="s">
        <v>312</v>
      </c>
      <c r="G187" s="9" t="s">
        <v>312</v>
      </c>
      <c r="H187" s="9" t="s">
        <v>524</v>
      </c>
    </row>
    <row r="188" customFormat="false" ht="15" hidden="false" customHeight="false" outlineLevel="0" collapsed="false">
      <c r="A188" s="9" t="s">
        <v>525</v>
      </c>
      <c r="B188" s="9" t="s">
        <v>526</v>
      </c>
      <c r="C188" s="12" t="n">
        <v>0.5</v>
      </c>
      <c r="D188" s="9" t="s">
        <v>171</v>
      </c>
      <c r="E188" s="9"/>
      <c r="F188" s="9" t="s">
        <v>312</v>
      </c>
      <c r="G188" s="9" t="s">
        <v>312</v>
      </c>
      <c r="H188" s="9" t="s">
        <v>527</v>
      </c>
    </row>
    <row r="189" customFormat="false" ht="15" hidden="false" customHeight="false" outlineLevel="0" collapsed="false">
      <c r="A189" s="9" t="s">
        <v>528</v>
      </c>
      <c r="B189" s="9" t="s">
        <v>529</v>
      </c>
      <c r="C189" s="12" t="n">
        <v>0</v>
      </c>
      <c r="D189" s="9" t="s">
        <v>171</v>
      </c>
      <c r="E189" s="9"/>
      <c r="F189" s="9" t="s">
        <v>312</v>
      </c>
      <c r="G189" s="9" t="s">
        <v>312</v>
      </c>
      <c r="H189" s="9" t="s">
        <v>530</v>
      </c>
    </row>
    <row r="190" customFormat="false" ht="15" hidden="false" customHeight="false" outlineLevel="0" collapsed="false">
      <c r="A190" s="9" t="s">
        <v>531</v>
      </c>
      <c r="B190" s="9" t="s">
        <v>532</v>
      </c>
      <c r="C190" s="12" t="n">
        <v>0.02</v>
      </c>
      <c r="D190" s="9" t="s">
        <v>171</v>
      </c>
      <c r="E190" s="9"/>
      <c r="F190" s="9" t="s">
        <v>312</v>
      </c>
      <c r="G190" s="9" t="s">
        <v>312</v>
      </c>
      <c r="H190" s="9" t="s">
        <v>533</v>
      </c>
    </row>
    <row r="191" customFormat="false" ht="15" hidden="false" customHeight="false" outlineLevel="0" collapsed="false">
      <c r="A191" s="9" t="s">
        <v>534</v>
      </c>
      <c r="B191" s="9" t="s">
        <v>535</v>
      </c>
      <c r="C191" s="10" t="n">
        <v>2</v>
      </c>
      <c r="D191" s="9" t="s">
        <v>32</v>
      </c>
      <c r="E191" s="9"/>
      <c r="F191" s="9" t="s">
        <v>312</v>
      </c>
      <c r="G191" s="9" t="s">
        <v>312</v>
      </c>
      <c r="H191" s="9"/>
    </row>
    <row r="192" customFormat="false" ht="15" hidden="false" customHeight="false" outlineLevel="0" collapsed="false">
      <c r="A192" s="9" t="s">
        <v>536</v>
      </c>
      <c r="B192" s="9" t="s">
        <v>537</v>
      </c>
      <c r="C192" s="10" t="n">
        <v>10</v>
      </c>
      <c r="D192" s="9" t="s">
        <v>106</v>
      </c>
      <c r="E192" s="9"/>
      <c r="F192" s="9" t="s">
        <v>312</v>
      </c>
      <c r="G192" s="9" t="s">
        <v>312</v>
      </c>
      <c r="H192" s="9"/>
    </row>
    <row r="193" customFormat="false" ht="15" hidden="false" customHeight="false" outlineLevel="0" collapsed="false">
      <c r="A193" s="9" t="s">
        <v>538</v>
      </c>
      <c r="B193" s="9" t="s">
        <v>539</v>
      </c>
      <c r="C193" s="11" t="n">
        <v>0.005</v>
      </c>
      <c r="D193" s="9" t="s">
        <v>106</v>
      </c>
      <c r="E193" s="9"/>
      <c r="F193" s="9" t="s">
        <v>312</v>
      </c>
      <c r="G193" s="9" t="s">
        <v>312</v>
      </c>
      <c r="H193" s="9"/>
    </row>
    <row r="194" customFormat="false" ht="15" hidden="false" customHeight="false" outlineLevel="0" collapsed="false">
      <c r="A194" s="9" t="s">
        <v>540</v>
      </c>
      <c r="B194" s="9" t="s">
        <v>541</v>
      </c>
      <c r="C194" s="11" t="n">
        <v>0.1</v>
      </c>
      <c r="D194" s="9" t="s">
        <v>303</v>
      </c>
      <c r="E194" s="9"/>
      <c r="F194" s="9" t="s">
        <v>312</v>
      </c>
      <c r="G194" s="9" t="s">
        <v>312</v>
      </c>
      <c r="H194" s="9"/>
    </row>
    <row r="195" customFormat="false" ht="15" hidden="false" customHeight="false" outlineLevel="0" collapsed="false">
      <c r="A195" s="9" t="s">
        <v>542</v>
      </c>
      <c r="B195" s="9" t="s">
        <v>543</v>
      </c>
      <c r="C195" s="11" t="n">
        <v>3.81</v>
      </c>
      <c r="D195" s="9" t="s">
        <v>106</v>
      </c>
      <c r="E195" s="9" t="s">
        <v>544</v>
      </c>
      <c r="F195" s="9" t="s">
        <v>155</v>
      </c>
      <c r="G195" s="9" t="s">
        <v>148</v>
      </c>
      <c r="H195" s="9"/>
    </row>
    <row r="196" customFormat="false" ht="15" hidden="false" customHeight="false" outlineLevel="0" collapsed="false">
      <c r="A196" s="9" t="s">
        <v>545</v>
      </c>
      <c r="B196" s="9" t="s">
        <v>546</v>
      </c>
      <c r="C196" s="10" t="n">
        <v>5540</v>
      </c>
      <c r="D196" s="9" t="s">
        <v>455</v>
      </c>
      <c r="E196" s="9" t="s">
        <v>547</v>
      </c>
      <c r="F196" s="9" t="s">
        <v>474</v>
      </c>
      <c r="G196" s="9" t="s">
        <v>243</v>
      </c>
      <c r="H196" s="9"/>
    </row>
    <row r="197" customFormat="false" ht="15" hidden="false" customHeight="false" outlineLevel="0" collapsed="false">
      <c r="A197" s="9" t="s">
        <v>548</v>
      </c>
      <c r="B197" s="9" t="s">
        <v>549</v>
      </c>
      <c r="C197" s="10" t="n">
        <v>2100</v>
      </c>
      <c r="D197" s="9" t="s">
        <v>32</v>
      </c>
      <c r="E197" s="9" t="s">
        <v>241</v>
      </c>
      <c r="F197" s="9" t="s">
        <v>242</v>
      </c>
      <c r="G197" s="9" t="s">
        <v>243</v>
      </c>
      <c r="H197" s="9"/>
    </row>
    <row r="198" customFormat="false" ht="15" hidden="false" customHeight="false" outlineLevel="0" collapsed="false">
      <c r="A198" s="9" t="s">
        <v>550</v>
      </c>
      <c r="B198" s="9" t="s">
        <v>551</v>
      </c>
      <c r="C198" s="10" t="n">
        <v>3500</v>
      </c>
      <c r="D198" s="9" t="s">
        <v>32</v>
      </c>
      <c r="E198" s="9" t="s">
        <v>280</v>
      </c>
      <c r="F198" s="9" t="s">
        <v>281</v>
      </c>
      <c r="G198" s="9" t="s">
        <v>148</v>
      </c>
      <c r="H198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1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4" t="s">
        <v>552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5" hidden="false" customHeight="false" outlineLevel="0" collapsed="false">
      <c r="A3" s="6" t="s">
        <v>553</v>
      </c>
      <c r="B3" s="6" t="s">
        <v>554</v>
      </c>
      <c r="C3" s="6" t="s">
        <v>555</v>
      </c>
      <c r="D3" s="6" t="s">
        <v>556</v>
      </c>
      <c r="E3" s="6" t="s">
        <v>234</v>
      </c>
      <c r="F3" s="6" t="s">
        <v>396</v>
      </c>
      <c r="G3" s="6" t="s">
        <v>217</v>
      </c>
      <c r="H3" s="6" t="s">
        <v>557</v>
      </c>
      <c r="I3" s="6" t="s">
        <v>544</v>
      </c>
      <c r="J3" s="6" t="s">
        <v>392</v>
      </c>
      <c r="K3" s="6" t="s">
        <v>213</v>
      </c>
      <c r="L3" s="6"/>
      <c r="M3" s="6" t="s">
        <v>28</v>
      </c>
    </row>
    <row r="4" customFormat="false" ht="15" hidden="false" customHeight="false" outlineLevel="0" collapsed="false">
      <c r="A4" s="9" t="s">
        <v>558</v>
      </c>
      <c r="B4" s="13" t="n">
        <f aca="false">Inputs!$C$5</f>
        <v>201</v>
      </c>
      <c r="C4" s="14" t="n">
        <f aca="false">Inputs!$C$48-Inputs!$C$5-Inputs!$C$6-Inputs!$C$7</f>
        <v>167</v>
      </c>
      <c r="D4" s="13" t="n">
        <f aca="false">Inputs!$C$6</f>
        <v>167</v>
      </c>
      <c r="E4" s="13" t="n">
        <f aca="false">Inputs!$C$7</f>
        <v>253</v>
      </c>
      <c r="F4" s="13" t="n">
        <f aca="false">Inputs!$C$8</f>
        <v>217</v>
      </c>
      <c r="G4" s="13" t="n">
        <f aca="false">Inputs!$C$9</f>
        <v>210</v>
      </c>
      <c r="H4" s="13" t="n">
        <f aca="false">Inputs!$C$10</f>
        <v>215</v>
      </c>
      <c r="I4" s="13" t="n">
        <f aca="false">Inputs!$C$11</f>
        <v>227</v>
      </c>
      <c r="J4" s="13" t="n">
        <f aca="false">Inputs!$C$12</f>
        <v>258</v>
      </c>
      <c r="K4" s="13" t="n">
        <f aca="false">Inputs!$C$13</f>
        <v>229</v>
      </c>
      <c r="L4" s="5"/>
      <c r="M4" s="5" t="s">
        <v>559</v>
      </c>
    </row>
    <row r="5" customFormat="false" ht="15" hidden="false" customHeight="false" outlineLevel="0" collapsed="false">
      <c r="A5" s="9" t="s">
        <v>560</v>
      </c>
      <c r="B5" s="13" t="n">
        <f aca="false">Inputs!$C$14</f>
        <v>87</v>
      </c>
      <c r="C5" s="13" t="n">
        <f aca="false">Inputs!$C$15</f>
        <v>55</v>
      </c>
      <c r="D5" s="13" t="n">
        <f aca="false">Inputs!$C$16</f>
        <v>55</v>
      </c>
      <c r="E5" s="13" t="n">
        <f aca="false">Inputs!$C$17</f>
        <v>108</v>
      </c>
      <c r="F5" s="13" t="n">
        <f aca="false">Inputs!$C$18</f>
        <v>80</v>
      </c>
      <c r="G5" s="13" t="n">
        <f aca="false">Inputs!$C$19</f>
        <v>72</v>
      </c>
      <c r="H5" s="13" t="n">
        <f aca="false">Inputs!$C$20</f>
        <v>78</v>
      </c>
      <c r="I5" s="14" t="n">
        <f aca="false">Inputs!$C$52-Inputs!$C$18-Inputs!$C$19-Inputs!$C$20</f>
        <v>87</v>
      </c>
      <c r="J5" s="13" t="n">
        <f aca="false">Inputs!$C$21</f>
        <v>109</v>
      </c>
      <c r="K5" s="13" t="n">
        <f aca="false">Inputs!$C$22</f>
        <v>78</v>
      </c>
      <c r="L5" s="5"/>
      <c r="M5" s="5" t="s">
        <v>561</v>
      </c>
    </row>
    <row r="6" customFormat="false" ht="15" hidden="false" customHeight="false" outlineLevel="0" collapsed="false">
      <c r="A6" s="9" t="s">
        <v>562</v>
      </c>
      <c r="B6" s="13" t="n">
        <f aca="false">Inputs!$C$23</f>
        <v>64</v>
      </c>
      <c r="C6" s="13" t="n">
        <f aca="false">Inputs!$C$24</f>
        <v>30.6</v>
      </c>
      <c r="D6" s="13" t="n">
        <f aca="false">Inputs!$C$25</f>
        <v>39</v>
      </c>
      <c r="E6" s="13" t="n">
        <f aca="false">Inputs!$C$26</f>
        <v>59</v>
      </c>
      <c r="F6" s="13" t="n">
        <f aca="false">Inputs!$C$27</f>
        <v>60</v>
      </c>
      <c r="G6" s="13" t="n">
        <f aca="false">Inputs!$C$28</f>
        <v>30.2</v>
      </c>
      <c r="H6" s="13" t="n">
        <f aca="false">Inputs!$C$29</f>
        <v>57</v>
      </c>
      <c r="I6" s="14" t="n">
        <f aca="false">Inputs!$C$55-Inputs!$C$27-Inputs!$C$28-Inputs!$C$29</f>
        <v>68.8</v>
      </c>
      <c r="J6" s="13" t="n">
        <f aca="false">Inputs!$C$30</f>
        <v>82</v>
      </c>
      <c r="K6" s="13" t="n">
        <f aca="false">Inputs!$C$31</f>
        <v>53</v>
      </c>
      <c r="L6" s="5"/>
      <c r="M6" s="5" t="s">
        <v>561</v>
      </c>
    </row>
    <row r="7" customFormat="false" ht="15" hidden="false" customHeight="false" outlineLevel="0" collapsed="false">
      <c r="A7" s="9" t="s">
        <v>563</v>
      </c>
      <c r="B7" s="15"/>
      <c r="C7" s="15"/>
      <c r="D7" s="16" t="n">
        <f aca="false">Inputs!$C$32</f>
        <v>3.21</v>
      </c>
      <c r="E7" s="15"/>
      <c r="F7" s="16" t="n">
        <f aca="false">Inputs!$C$33</f>
        <v>3.58</v>
      </c>
      <c r="G7" s="16" t="n">
        <f aca="false">Inputs!$C$34</f>
        <v>3.63</v>
      </c>
      <c r="H7" s="16" t="n">
        <f aca="false">Inputs!$C$35</f>
        <v>3.73</v>
      </c>
      <c r="I7" s="16" t="n">
        <f aca="false">Inputs!$C$36</f>
        <v>3.85</v>
      </c>
      <c r="J7" s="16" t="n">
        <f aca="false">Inputs!$C$37</f>
        <v>4.02</v>
      </c>
      <c r="K7" s="16" t="n">
        <f aca="false">Inputs!$C$38</f>
        <v>4.28</v>
      </c>
      <c r="L7" s="5"/>
      <c r="M7" s="5" t="s">
        <v>564</v>
      </c>
    </row>
    <row r="8" customFormat="false" ht="15" hidden="false" customHeight="false" outlineLevel="0" collapsed="false">
      <c r="A8" s="9" t="s">
        <v>565</v>
      </c>
      <c r="B8" s="14"/>
      <c r="C8" s="14"/>
      <c r="D8" s="14"/>
      <c r="E8" s="14"/>
      <c r="F8" s="14"/>
      <c r="G8" s="13" t="n">
        <f aca="false">Inputs!$C$39</f>
        <v>17.5</v>
      </c>
      <c r="H8" s="13" t="n">
        <f aca="false">Inputs!$C$40</f>
        <v>20.8</v>
      </c>
      <c r="I8" s="13" t="n">
        <f aca="false">Inputs!$C$41</f>
        <v>18.5</v>
      </c>
      <c r="J8" s="13" t="n">
        <f aca="false">Inputs!$C$42</f>
        <v>18.7</v>
      </c>
      <c r="K8" s="13" t="n">
        <f aca="false">Inputs!$C$43</f>
        <v>19.2</v>
      </c>
      <c r="L8" s="5"/>
      <c r="M8" s="5" t="s">
        <v>566</v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" hidden="false" customHeight="false" outlineLevel="0" collapsed="false">
      <c r="A10" s="9" t="s">
        <v>567</v>
      </c>
      <c r="B10" s="5"/>
      <c r="C10" s="5"/>
      <c r="D10" s="5"/>
      <c r="E10" s="5"/>
      <c r="F10" s="17" t="n">
        <f aca="false">F4/B4-1</f>
        <v>0.0796019900497513</v>
      </c>
      <c r="G10" s="17" t="n">
        <f aca="false">G4/C4-1</f>
        <v>0.25748502994012</v>
      </c>
      <c r="H10" s="17" t="n">
        <f aca="false">H4/D4-1</f>
        <v>0.287425149700599</v>
      </c>
      <c r="I10" s="17" t="n">
        <f aca="false">I4/E4-1</f>
        <v>-0.102766798418972</v>
      </c>
      <c r="J10" s="17" t="n">
        <f aca="false">J4/F4-1</f>
        <v>0.188940092165899</v>
      </c>
      <c r="K10" s="17" t="n">
        <f aca="false">K4/G4-1</f>
        <v>0.0904761904761904</v>
      </c>
      <c r="L10" s="5"/>
      <c r="M10" s="5"/>
    </row>
    <row r="11" customFormat="false" ht="15" hidden="false" customHeight="false" outlineLevel="0" collapsed="false">
      <c r="A11" s="9" t="s">
        <v>568</v>
      </c>
      <c r="B11" s="5"/>
      <c r="C11" s="5"/>
      <c r="D11" s="5"/>
      <c r="E11" s="5"/>
      <c r="F11" s="17" t="n">
        <f aca="false">F5/B5-1</f>
        <v>-0.0804597701149425</v>
      </c>
      <c r="G11" s="17" t="n">
        <f aca="false">G5/C5-1</f>
        <v>0.309090909090909</v>
      </c>
      <c r="H11" s="17" t="n">
        <f aca="false">H5/D5-1</f>
        <v>0.418181818181818</v>
      </c>
      <c r="I11" s="17" t="n">
        <f aca="false">I5/E5-1</f>
        <v>-0.194444444444444</v>
      </c>
      <c r="J11" s="17" t="n">
        <f aca="false">J5/F5-1</f>
        <v>0.3625</v>
      </c>
      <c r="K11" s="17" t="n">
        <f aca="false">K5/G5-1</f>
        <v>0.0833333333333333</v>
      </c>
      <c r="L11" s="5"/>
      <c r="M11" s="5"/>
    </row>
    <row r="12" customFormat="false" ht="15" hidden="false" customHeight="false" outlineLevel="0" collapsed="false">
      <c r="A12" s="9" t="s">
        <v>569</v>
      </c>
      <c r="B12" s="5"/>
      <c r="C12" s="5"/>
      <c r="D12" s="5"/>
      <c r="E12" s="5"/>
      <c r="F12" s="17" t="n">
        <f aca="false">F6/B6-1</f>
        <v>-0.0625</v>
      </c>
      <c r="G12" s="17" t="n">
        <f aca="false">G6/C6-1</f>
        <v>-0.0130718954248367</v>
      </c>
      <c r="H12" s="17" t="n">
        <f aca="false">H6/D6-1</f>
        <v>0.461538461538461</v>
      </c>
      <c r="I12" s="17" t="n">
        <f aca="false">I6/E6-1</f>
        <v>0.166101694915254</v>
      </c>
      <c r="J12" s="17" t="n">
        <f aca="false">J6/F6-1</f>
        <v>0.366666666666667</v>
      </c>
      <c r="K12" s="17" t="n">
        <f aca="false">K6/G6-1</f>
        <v>0.754966887417219</v>
      </c>
      <c r="L12" s="5"/>
      <c r="M12" s="5"/>
    </row>
    <row r="13" customFormat="false" ht="15" hidden="false" customHeight="false" outlineLevel="0" collapsed="false">
      <c r="A13" s="9" t="s">
        <v>570</v>
      </c>
      <c r="B13" s="17" t="n">
        <f aca="false">B5/B4</f>
        <v>0.432835820895522</v>
      </c>
      <c r="C13" s="17" t="n">
        <f aca="false">C5/C4</f>
        <v>0.329341317365269</v>
      </c>
      <c r="D13" s="17" t="n">
        <f aca="false">D5/D4</f>
        <v>0.329341317365269</v>
      </c>
      <c r="E13" s="17" t="n">
        <f aca="false">E5/E4</f>
        <v>0.426877470355731</v>
      </c>
      <c r="F13" s="17" t="n">
        <f aca="false">F5/F4</f>
        <v>0.368663594470046</v>
      </c>
      <c r="G13" s="17" t="n">
        <f aca="false">G5/G4</f>
        <v>0.342857142857143</v>
      </c>
      <c r="H13" s="17" t="n">
        <f aca="false">H5/H4</f>
        <v>0.362790697674419</v>
      </c>
      <c r="I13" s="17" t="n">
        <f aca="false">I5/I4</f>
        <v>0.383259911894273</v>
      </c>
      <c r="J13" s="17" t="n">
        <f aca="false">J5/J4</f>
        <v>0.422480620155039</v>
      </c>
      <c r="K13" s="17" t="n">
        <f aca="false">K5/K4</f>
        <v>0.34061135371179</v>
      </c>
      <c r="L13" s="5"/>
      <c r="M13" s="5"/>
    </row>
    <row r="14" customFormat="false" ht="15" hidden="false" customHeight="false" outlineLevel="0" collapsed="false">
      <c r="A14" s="9" t="s">
        <v>571</v>
      </c>
      <c r="B14" s="17" t="n">
        <f aca="false">B6/B4</f>
        <v>0.318407960199005</v>
      </c>
      <c r="C14" s="17" t="n">
        <f aca="false">C6/C4</f>
        <v>0.183233532934132</v>
      </c>
      <c r="D14" s="17" t="n">
        <f aca="false">D6/D4</f>
        <v>0.233532934131737</v>
      </c>
      <c r="E14" s="17" t="n">
        <f aca="false">E6/E4</f>
        <v>0.233201581027668</v>
      </c>
      <c r="F14" s="17" t="n">
        <f aca="false">F6/F4</f>
        <v>0.276497695852535</v>
      </c>
      <c r="G14" s="17" t="n">
        <f aca="false">G6/G4</f>
        <v>0.143809523809524</v>
      </c>
      <c r="H14" s="17" t="n">
        <f aca="false">H6/H4</f>
        <v>0.265116279069767</v>
      </c>
      <c r="I14" s="17" t="n">
        <f aca="false">I6/I4</f>
        <v>0.303083700440529</v>
      </c>
      <c r="J14" s="17" t="n">
        <f aca="false">J6/J4</f>
        <v>0.317829457364341</v>
      </c>
      <c r="K14" s="17" t="n">
        <f aca="false">K6/K4</f>
        <v>0.231441048034935</v>
      </c>
      <c r="L14" s="5"/>
      <c r="M14" s="5"/>
    </row>
    <row r="15" customFormat="false" ht="15" hidden="false" customHeight="false" outlineLevel="0" collapsed="false">
      <c r="A15" s="9" t="s">
        <v>572</v>
      </c>
      <c r="B15" s="18" t="n">
        <f aca="false">IF(B6&gt;0,1,0)</f>
        <v>1</v>
      </c>
      <c r="C15" s="18" t="n">
        <f aca="false">IF(C6&gt;0,1,0)</f>
        <v>1</v>
      </c>
      <c r="D15" s="18" t="n">
        <f aca="false">IF(D6&gt;0,1,0)</f>
        <v>1</v>
      </c>
      <c r="E15" s="18" t="n">
        <f aca="false">IF(E6&gt;0,1,0)</f>
        <v>1</v>
      </c>
      <c r="F15" s="18" t="n">
        <f aca="false">IF(F6&gt;0,1,0)</f>
        <v>1</v>
      </c>
      <c r="G15" s="18" t="n">
        <f aca="false">IF(G6&gt;0,1,0)</f>
        <v>1</v>
      </c>
      <c r="H15" s="18" t="n">
        <f aca="false">IF(H6&gt;0,1,0)</f>
        <v>1</v>
      </c>
      <c r="I15" s="18" t="n">
        <f aca="false">IF(I6&gt;0,1,0)</f>
        <v>1</v>
      </c>
      <c r="J15" s="18" t="n">
        <f aca="false">IF(J6&gt;0,1,0)</f>
        <v>1</v>
      </c>
      <c r="K15" s="18" t="n">
        <f aca="false">IF(K6&gt;0,1,0)</f>
        <v>1</v>
      </c>
      <c r="L15" s="5"/>
      <c r="M15" s="5"/>
    </row>
    <row r="16" customFormat="false" ht="15" hidden="false" customHeight="false" outlineLevel="0" collapsed="false">
      <c r="A16" s="9" t="s">
        <v>573</v>
      </c>
      <c r="B16" s="19" t="str">
        <f aca="false">IF(ISNUMBER(B8),B4*4/(B8*1000),"N/D")</f>
        <v>N/D</v>
      </c>
      <c r="C16" s="19" t="str">
        <f aca="false">IF(ISNUMBER(C8),C4*4/(C8*1000),"N/D")</f>
        <v>N/D</v>
      </c>
      <c r="D16" s="19" t="str">
        <f aca="false">IF(ISNUMBER(D8),D4*4/(D8*1000),"N/D")</f>
        <v>N/D</v>
      </c>
      <c r="E16" s="19" t="str">
        <f aca="false">IF(ISNUMBER(E8),E4*4/(E8*1000),"N/D")</f>
        <v>N/D</v>
      </c>
      <c r="F16" s="19" t="str">
        <f aca="false">IF(ISNUMBER(F8),F4*4/(F8*1000),"N/D")</f>
        <v>N/D</v>
      </c>
      <c r="G16" s="19" t="n">
        <f aca="false">IF(ISNUMBER(G8),G4*4/(G8*1000),"N/D")</f>
        <v>0.048</v>
      </c>
      <c r="H16" s="19" t="n">
        <f aca="false">IF(ISNUMBER(H8),H4*4/(H8*1000),"N/D")</f>
        <v>0.0413461538461538</v>
      </c>
      <c r="I16" s="19" t="n">
        <f aca="false">IF(ISNUMBER(I8),I4*4/(I8*1000),"N/D")</f>
        <v>0.0490810810810811</v>
      </c>
      <c r="J16" s="19" t="n">
        <f aca="false">IF(ISNUMBER(J8),J4*4/(J8*1000),"N/D")</f>
        <v>0.0551871657754011</v>
      </c>
      <c r="K16" s="19" t="n">
        <f aca="false">IF(ISNUMBER(K8),K4*4/(K8*1000),"N/D")</f>
        <v>0.0477083333333333</v>
      </c>
      <c r="L16" s="5"/>
      <c r="M16" s="5" t="s">
        <v>574</v>
      </c>
    </row>
    <row r="17" customFormat="false" ht="15" hidden="false" customHeight="false" outlineLevel="0" collapsed="false">
      <c r="A17" s="9" t="s">
        <v>575</v>
      </c>
      <c r="B17" s="20" t="str">
        <f aca="false">IF(ISNUMBER(B7),B4*4/B7,"N/D")</f>
        <v>N/D</v>
      </c>
      <c r="C17" s="20" t="str">
        <f aca="false">IF(ISNUMBER(C7),C4*4/C7,"N/D")</f>
        <v>N/D</v>
      </c>
      <c r="D17" s="20" t="n">
        <f aca="false">IF(ISNUMBER(D7),D4*4/D7,"N/D")</f>
        <v>208.09968847352</v>
      </c>
      <c r="E17" s="20" t="str">
        <f aca="false">IF(ISNUMBER(E7),E4*4/E7,"N/D")</f>
        <v>N/D</v>
      </c>
      <c r="F17" s="20" t="n">
        <f aca="false">IF(ISNUMBER(F7),F4*4/F7,"N/D")</f>
        <v>242.458100558659</v>
      </c>
      <c r="G17" s="20" t="n">
        <f aca="false">IF(ISNUMBER(G7),G4*4/G7,"N/D")</f>
        <v>231.404958677686</v>
      </c>
      <c r="H17" s="20" t="n">
        <f aca="false">IF(ISNUMBER(H7),H4*4/H7,"N/D")</f>
        <v>230.563002680965</v>
      </c>
      <c r="I17" s="20" t="n">
        <f aca="false">IF(ISNUMBER(I7),I4*4/I7,"N/D")</f>
        <v>235.844155844156</v>
      </c>
      <c r="J17" s="20" t="n">
        <f aca="false">IF(ISNUMBER(J7),J4*4/J7,"N/D")</f>
        <v>256.716417910448</v>
      </c>
      <c r="K17" s="20" t="n">
        <f aca="false">IF(ISNUMBER(K7),K4*4/K7,"N/D")</f>
        <v>214.018691588785</v>
      </c>
      <c r="L17" s="5"/>
      <c r="M17" s="5"/>
    </row>
    <row r="18" customFormat="false" ht="15" hidden="false" customHeight="false" outlineLevel="0" collapsed="false">
      <c r="A18" s="9" t="s">
        <v>576</v>
      </c>
      <c r="B18" s="5"/>
      <c r="C18" s="5"/>
      <c r="D18" s="5"/>
      <c r="E18" s="5"/>
      <c r="F18" s="17" t="str">
        <f aca="false">IF(AND(ISNUMBER(F7),ISNUMBER(B7)),F7/B7-1,"N/D")</f>
        <v>N/D</v>
      </c>
      <c r="G18" s="17" t="str">
        <f aca="false">IF(AND(ISNUMBER(G7),ISNUMBER(C7)),G7/C7-1,"N/D")</f>
        <v>N/D</v>
      </c>
      <c r="H18" s="17" t="n">
        <f aca="false">IF(AND(ISNUMBER(H7),ISNUMBER(D7)),H7/D7-1,"N/D")</f>
        <v>0.161993769470405</v>
      </c>
      <c r="I18" s="17" t="str">
        <f aca="false">IF(AND(ISNUMBER(I7),ISNUMBER(E7)),I7/E7-1,"N/D")</f>
        <v>N/D</v>
      </c>
      <c r="J18" s="17" t="n">
        <f aca="false">IF(AND(ISNUMBER(J7),ISNUMBER(F7)),J7/F7-1,"N/D")</f>
        <v>0.122905027932961</v>
      </c>
      <c r="K18" s="17" t="n">
        <f aca="false">IF(AND(ISNUMBER(K7),ISNUMBER(G7)),K7/G7-1,"N/D")</f>
        <v>0.179063360881543</v>
      </c>
      <c r="L18" s="5"/>
      <c r="M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" hidden="false" customHeight="false" outlineLevel="0" collapsed="false">
      <c r="A21" s="6" t="s">
        <v>577</v>
      </c>
      <c r="B21" s="6" t="s">
        <v>146</v>
      </c>
      <c r="C21" s="6" t="s">
        <v>151</v>
      </c>
      <c r="D21" s="6" t="s">
        <v>154</v>
      </c>
      <c r="E21" s="6" t="s">
        <v>298</v>
      </c>
      <c r="F21" s="6" t="s">
        <v>578</v>
      </c>
      <c r="G21" s="6" t="s">
        <v>459</v>
      </c>
      <c r="H21" s="6" t="s">
        <v>336</v>
      </c>
      <c r="I21" s="6"/>
      <c r="J21" s="6"/>
      <c r="K21" s="6"/>
      <c r="L21" s="6"/>
      <c r="M21" s="6" t="s">
        <v>28</v>
      </c>
    </row>
    <row r="22" customFormat="false" ht="15" hidden="false" customHeight="false" outlineLevel="0" collapsed="false">
      <c r="A22" s="9" t="s">
        <v>558</v>
      </c>
      <c r="B22" s="13" t="n">
        <f aca="false">Inputs!$C$47</f>
        <v>639</v>
      </c>
      <c r="C22" s="13" t="n">
        <f aca="false">Inputs!$C$48</f>
        <v>788</v>
      </c>
      <c r="D22" s="13" t="n">
        <f aca="false">Inputs!$C$49</f>
        <v>868</v>
      </c>
      <c r="E22" s="14" t="n">
        <f aca="false">SUM(H4:K4)</f>
        <v>929</v>
      </c>
      <c r="F22" s="14" t="n">
        <f aca="false">SUM(D4:G4)</f>
        <v>847</v>
      </c>
      <c r="G22" s="14" t="n">
        <f aca="false">SUM(F4:G4)</f>
        <v>427</v>
      </c>
      <c r="H22" s="14" t="n">
        <f aca="false">SUM(J4:K4)</f>
        <v>487</v>
      </c>
      <c r="I22" s="5"/>
      <c r="J22" s="5"/>
      <c r="K22" s="5"/>
      <c r="L22" s="5"/>
      <c r="M22" s="5"/>
    </row>
    <row r="23" customFormat="false" ht="15" hidden="false" customHeight="false" outlineLevel="0" collapsed="false">
      <c r="A23" s="9" t="s">
        <v>560</v>
      </c>
      <c r="B23" s="13" t="n">
        <f aca="false">Inputs!$C$50</f>
        <v>117</v>
      </c>
      <c r="C23" s="13" t="n">
        <f aca="false">Inputs!$C$51</f>
        <v>304</v>
      </c>
      <c r="D23" s="13" t="n">
        <f aca="false">Inputs!$C$52</f>
        <v>317</v>
      </c>
      <c r="E23" s="14" t="n">
        <f aca="false">SUM(H5:K5)</f>
        <v>352</v>
      </c>
      <c r="F23" s="14" t="n">
        <f aca="false">SUM(D5:G5)</f>
        <v>315</v>
      </c>
      <c r="G23" s="14" t="n">
        <f aca="false">SUM(F5:G5)</f>
        <v>152</v>
      </c>
      <c r="H23" s="14" t="n">
        <f aca="false">SUM(J5:K5)</f>
        <v>187</v>
      </c>
      <c r="I23" s="5"/>
      <c r="J23" s="5"/>
      <c r="K23" s="5"/>
      <c r="L23" s="5"/>
      <c r="M23" s="5"/>
    </row>
    <row r="24" customFormat="false" ht="15" hidden="false" customHeight="false" outlineLevel="0" collapsed="false">
      <c r="A24" s="9" t="s">
        <v>562</v>
      </c>
      <c r="B24" s="13" t="n">
        <f aca="false">Inputs!$C$53</f>
        <v>15.3</v>
      </c>
      <c r="C24" s="13" t="n">
        <f aca="false">Inputs!$C$54</f>
        <v>192</v>
      </c>
      <c r="D24" s="13" t="n">
        <f aca="false">Inputs!$C$55</f>
        <v>216</v>
      </c>
      <c r="E24" s="14" t="n">
        <f aca="false">SUM(H6:K6)</f>
        <v>260.8</v>
      </c>
      <c r="F24" s="14" t="n">
        <f aca="false">SUM(D6:G6)</f>
        <v>188.2</v>
      </c>
      <c r="G24" s="14" t="n">
        <f aca="false">SUM(F6:G6)</f>
        <v>90.2</v>
      </c>
      <c r="H24" s="14" t="n">
        <f aca="false">SUM(J6:K6)</f>
        <v>135</v>
      </c>
      <c r="I24" s="5"/>
      <c r="J24" s="5"/>
      <c r="K24" s="5"/>
      <c r="L24" s="5"/>
      <c r="M24" s="5"/>
    </row>
    <row r="25" customFormat="false" ht="15" hidden="false" customHeight="false" outlineLevel="0" collapsed="false">
      <c r="A25" s="9" t="s">
        <v>579</v>
      </c>
      <c r="B25" s="21"/>
      <c r="C25" s="21" t="n">
        <f aca="false">C22/B22-1</f>
        <v>0.233176838810642</v>
      </c>
      <c r="D25" s="21" t="n">
        <f aca="false">D22/C22-1</f>
        <v>0.101522842639594</v>
      </c>
      <c r="E25" s="21" t="n">
        <f aca="false">E22/F22-1</f>
        <v>0.0968122786304604</v>
      </c>
      <c r="F25" s="21"/>
      <c r="G25" s="21"/>
      <c r="H25" s="21" t="n">
        <f aca="false">H22/G22-1</f>
        <v>0.140515222482436</v>
      </c>
      <c r="I25" s="5"/>
      <c r="J25" s="5"/>
      <c r="K25" s="5"/>
      <c r="L25" s="5"/>
      <c r="M25" s="5"/>
    </row>
    <row r="26" customFormat="false" ht="15" hidden="false" customHeight="false" outlineLevel="0" collapsed="false">
      <c r="A26" s="9" t="s">
        <v>580</v>
      </c>
      <c r="B26" s="21" t="n">
        <f aca="false">B23/B22</f>
        <v>0.183098591549296</v>
      </c>
      <c r="C26" s="21" t="n">
        <f aca="false">C23/C22</f>
        <v>0.385786802030457</v>
      </c>
      <c r="D26" s="21" t="n">
        <f aca="false">D23/D22</f>
        <v>0.365207373271889</v>
      </c>
      <c r="E26" s="21" t="n">
        <f aca="false">E23/E22</f>
        <v>0.378902045209903</v>
      </c>
      <c r="F26" s="21" t="n">
        <f aca="false">F23/F22</f>
        <v>0.371900826446281</v>
      </c>
      <c r="G26" s="21" t="n">
        <f aca="false">G23/G22</f>
        <v>0.355971896955504</v>
      </c>
      <c r="H26" s="21" t="n">
        <f aca="false">H23/H22</f>
        <v>0.383983572895277</v>
      </c>
      <c r="I26" s="5"/>
      <c r="J26" s="5"/>
      <c r="K26" s="5"/>
      <c r="L26" s="5"/>
      <c r="M26" s="5"/>
    </row>
    <row r="27" customFormat="false" ht="15" hidden="false" customHeight="false" outlineLevel="0" collapsed="false">
      <c r="A27" s="9" t="s">
        <v>581</v>
      </c>
      <c r="B27" s="21" t="n">
        <f aca="false">B24/B22</f>
        <v>0.023943661971831</v>
      </c>
      <c r="C27" s="21" t="n">
        <f aca="false">C24/C22</f>
        <v>0.243654822335025</v>
      </c>
      <c r="D27" s="21" t="n">
        <f aca="false">D24/D22</f>
        <v>0.248847926267281</v>
      </c>
      <c r="E27" s="21" t="n">
        <f aca="false">E24/E22</f>
        <v>0.280731969860065</v>
      </c>
      <c r="F27" s="21" t="n">
        <f aca="false">F24/F22</f>
        <v>0.222195985832349</v>
      </c>
      <c r="G27" s="21" t="n">
        <f aca="false">G24/G22</f>
        <v>0.211241217798595</v>
      </c>
      <c r="H27" s="21" t="n">
        <f aca="false">H24/H22</f>
        <v>0.277207392197125</v>
      </c>
      <c r="I27" s="5"/>
      <c r="J27" s="5"/>
      <c r="K27" s="5"/>
      <c r="L27" s="5"/>
      <c r="M27" s="5"/>
    </row>
    <row r="28" customFormat="false" ht="15" hidden="false" customHeight="false" outlineLevel="0" collapsed="false">
      <c r="A28" s="9" t="s">
        <v>582</v>
      </c>
      <c r="B28" s="21" t="n">
        <f aca="false">(D22/B22)^(1/2)-1</f>
        <v>0.165492366754929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" hidden="false" customHeight="false" outlineLevel="0" collapsed="false">
      <c r="A29" s="9" t="s">
        <v>583</v>
      </c>
      <c r="B29" s="21" t="n">
        <f aca="false">(D23/B23)^(1/2)-1</f>
        <v>0.646026035456824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customFormat="false" ht="15" hidden="false" customHeight="false" outlineLevel="0" collapsed="false">
      <c r="A30" s="9" t="s">
        <v>584</v>
      </c>
      <c r="B30" s="21" t="n">
        <f aca="false">(E22/C22)^(1/1.5)-1</f>
        <v>0.115988358705574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customFormat="false" ht="15" hidden="false" customHeight="false" outlineLevel="0" collapsed="false">
      <c r="A31" s="9" t="s">
        <v>585</v>
      </c>
      <c r="B31" s="21" t="n">
        <f aca="false">E24/F24-1</f>
        <v>0.385759829968119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15" hidden="false" customHeight="false" outlineLevel="0" collapsed="false">
      <c r="A32" s="9" t="s">
        <v>586</v>
      </c>
      <c r="B32" s="21" t="n">
        <f aca="false">E23/F23-1</f>
        <v>0.117460317460317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15" hidden="false" customHeight="false" outlineLevel="0" collapsed="false">
      <c r="A33" s="9" t="s">
        <v>587</v>
      </c>
      <c r="B33" s="21" t="n">
        <f aca="false">STDEVP(B13:K13)</f>
        <v>0.0386281108686853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5" hidden="false" customHeight="false" outlineLevel="0" collapsed="false">
      <c r="A34" s="9" t="s">
        <v>588</v>
      </c>
      <c r="B34" s="21" t="n">
        <f aca="false">STDEVP(G13:K13)</f>
        <v>0.0302709175242671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15" hidden="false" customHeight="false" outlineLevel="0" collapsed="false">
      <c r="A35" s="9" t="s">
        <v>589</v>
      </c>
      <c r="B35" s="5" t="n">
        <f aca="false">SUM(B15:K15)</f>
        <v>10</v>
      </c>
      <c r="C35" s="5" t="n">
        <f aca="false">COUNT(B6:K6)</f>
        <v>10</v>
      </c>
      <c r="D35" s="21" t="n">
        <f aca="false">B35/C35</f>
        <v>1</v>
      </c>
      <c r="E35" s="5"/>
      <c r="F35" s="5"/>
      <c r="G35" s="5"/>
      <c r="H35" s="5"/>
      <c r="I35" s="5"/>
      <c r="J35" s="5"/>
      <c r="K35" s="5"/>
      <c r="L35" s="5"/>
      <c r="M35" s="5"/>
    </row>
    <row r="36" customFormat="false" ht="15" hidden="false" customHeight="false" outlineLevel="0" collapsed="false">
      <c r="A36" s="9" t="s">
        <v>590</v>
      </c>
      <c r="B36" s="22" t="n">
        <f aca="false">B24+C24+D24+H24</f>
        <v>558.3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5" hidden="false" customHeight="false" outlineLevel="0" collapsed="false">
      <c r="A37" s="9" t="s">
        <v>591</v>
      </c>
      <c r="B37" s="21" t="n">
        <f aca="false">Inputs!$C$77/Inputs!$C$78-1</f>
        <v>-0.239255014326648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15" hidden="false" customHeight="false" outlineLevel="0" collapsed="false">
      <c r="A38" s="9" t="s">
        <v>592</v>
      </c>
      <c r="B38" s="21" t="n">
        <f aca="false">Inputs!$C$79/Inputs!$C$80-1</f>
        <v>-0.293193717277487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15" hidden="false" customHeight="false" outlineLevel="0" collapsed="false">
      <c r="A39" s="9" t="s">
        <v>593</v>
      </c>
      <c r="B39" s="5" t="n">
        <f aca="false">Inputs!$C$81+Inputs!$C$82+Inputs!$C$83+Inputs!$C$84</f>
        <v>228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5" hidden="false" customHeight="false" outlineLevel="0" collapsed="false">
      <c r="A40" s="9" t="s">
        <v>594</v>
      </c>
      <c r="B40" s="21" t="n">
        <f aca="false">Inputs!$C$81/K4</f>
        <v>0.620087336244542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5" hidden="false" customHeight="false" outlineLevel="0" collapsed="false">
      <c r="A41" s="9" t="s">
        <v>595</v>
      </c>
      <c r="B41" s="21" t="n">
        <f aca="false">Inputs!$C$83/K4</f>
        <v>0.213973799126638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15" hidden="false" customHeight="false" outlineLevel="0" collapsed="false">
      <c r="A42" s="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22.35" hidden="false" customHeight="false" outlineLevel="0" collapsed="false">
      <c r="A45" s="6" t="s">
        <v>596</v>
      </c>
      <c r="B45" s="6" t="s">
        <v>597</v>
      </c>
      <c r="C45" s="6" t="s">
        <v>598</v>
      </c>
      <c r="D45" s="6" t="s">
        <v>599</v>
      </c>
      <c r="E45" s="6" t="s">
        <v>600</v>
      </c>
      <c r="F45" s="6" t="s">
        <v>601</v>
      </c>
      <c r="G45" s="6"/>
      <c r="H45" s="6"/>
      <c r="I45" s="6"/>
      <c r="J45" s="6"/>
      <c r="K45" s="6"/>
      <c r="L45" s="6"/>
      <c r="M45" s="6" t="s">
        <v>602</v>
      </c>
    </row>
    <row r="46" customFormat="false" ht="15" hidden="false" customHeight="false" outlineLevel="0" collapsed="false">
      <c r="A46" s="9" t="s">
        <v>603</v>
      </c>
      <c r="B46" s="21" t="n">
        <f aca="false">D25</f>
        <v>0.101522842639594</v>
      </c>
      <c r="C46" s="23" t="n">
        <f aca="false">Inputs!$C$57</f>
        <v>0.1</v>
      </c>
      <c r="D46" s="21" t="n">
        <f aca="false">B46-C46</f>
        <v>0.00152284263959399</v>
      </c>
      <c r="E46" s="23" t="n">
        <f aca="false">Inputs!$C$190</f>
        <v>0.02</v>
      </c>
      <c r="F46" s="5" t="str">
        <f aca="false">IF(ABS(D46)&lt;=E46,"MATCH","FLAG")</f>
        <v>MATCH</v>
      </c>
      <c r="G46" s="5"/>
      <c r="H46" s="5"/>
      <c r="I46" s="5"/>
      <c r="J46" s="5"/>
      <c r="K46" s="5"/>
      <c r="L46" s="5"/>
      <c r="M46" s="5"/>
    </row>
    <row r="47" customFormat="false" ht="15" hidden="false" customHeight="false" outlineLevel="0" collapsed="false">
      <c r="A47" s="9" t="s">
        <v>604</v>
      </c>
      <c r="B47" s="21" t="n">
        <f aca="false">D24/C24-1</f>
        <v>0.125</v>
      </c>
      <c r="C47" s="23" t="n">
        <f aca="false">Inputs!$C$58</f>
        <v>0.12</v>
      </c>
      <c r="D47" s="21" t="n">
        <f aca="false">B47-C47</f>
        <v>0.005</v>
      </c>
      <c r="E47" s="23" t="n">
        <f aca="false">Inputs!$C$190</f>
        <v>0.02</v>
      </c>
      <c r="F47" s="5" t="str">
        <f aca="false">IF(ABS(D47)&lt;=E47,"MATCH","FLAG")</f>
        <v>MATCH</v>
      </c>
      <c r="G47" s="5"/>
      <c r="H47" s="5"/>
      <c r="I47" s="5"/>
      <c r="J47" s="5"/>
      <c r="K47" s="5"/>
      <c r="L47" s="5"/>
      <c r="M47" s="5"/>
    </row>
    <row r="48" customFormat="false" ht="15" hidden="false" customHeight="false" outlineLevel="0" collapsed="false">
      <c r="A48" s="9" t="s">
        <v>605</v>
      </c>
      <c r="B48" s="21" t="n">
        <f aca="false">D23/C23-1</f>
        <v>0.042763157894737</v>
      </c>
      <c r="C48" s="23" t="n">
        <f aca="false">Inputs!$C$59</f>
        <v>0.04</v>
      </c>
      <c r="D48" s="21" t="n">
        <f aca="false">B48-C48</f>
        <v>0.00276315789473695</v>
      </c>
      <c r="E48" s="23" t="n">
        <f aca="false">Inputs!$C$190</f>
        <v>0.02</v>
      </c>
      <c r="F48" s="5" t="str">
        <f aca="false">IF(ABS(D48)&lt;=E48,"MATCH","FLAG")</f>
        <v>MATCH</v>
      </c>
      <c r="G48" s="5"/>
      <c r="H48" s="5"/>
      <c r="I48" s="5"/>
      <c r="J48" s="5"/>
      <c r="K48" s="5"/>
      <c r="L48" s="5"/>
      <c r="M48" s="5"/>
    </row>
    <row r="49" customFormat="false" ht="15" hidden="false" customHeight="false" outlineLevel="0" collapsed="false">
      <c r="A49" s="9" t="s">
        <v>606</v>
      </c>
      <c r="B49" s="21" t="n">
        <f aca="false">K10</f>
        <v>0.0904761904761904</v>
      </c>
      <c r="C49" s="23" t="n">
        <f aca="false">Inputs!$C$60</f>
        <v>0.09</v>
      </c>
      <c r="D49" s="21" t="n">
        <f aca="false">B49-C49</f>
        <v>0.00047619047619038</v>
      </c>
      <c r="E49" s="23" t="n">
        <f aca="false">Inputs!$C$190</f>
        <v>0.02</v>
      </c>
      <c r="F49" s="5" t="str">
        <f aca="false">IF(ABS(D49)&lt;=E49,"MATCH","FLAG")</f>
        <v>MATCH</v>
      </c>
      <c r="G49" s="5"/>
      <c r="H49" s="5"/>
      <c r="I49" s="5"/>
      <c r="J49" s="5"/>
      <c r="K49" s="5"/>
      <c r="L49" s="5"/>
      <c r="M49" s="5"/>
    </row>
    <row r="50" customFormat="false" ht="15" hidden="false" customHeight="false" outlineLevel="0" collapsed="false">
      <c r="A50" s="9" t="s">
        <v>607</v>
      </c>
      <c r="B50" s="21" t="n">
        <f aca="false">K11</f>
        <v>0.0833333333333333</v>
      </c>
      <c r="C50" s="23" t="n">
        <f aca="false">Inputs!$C$61</f>
        <v>0.09</v>
      </c>
      <c r="D50" s="21" t="n">
        <f aca="false">B50-C50</f>
        <v>-0.00666666666666674</v>
      </c>
      <c r="E50" s="23" t="n">
        <f aca="false">Inputs!$C$190</f>
        <v>0.02</v>
      </c>
      <c r="F50" s="5" t="str">
        <f aca="false">IF(ABS(D50)&lt;=E50,"MATCH","FLAG")</f>
        <v>MATCH</v>
      </c>
      <c r="G50" s="5"/>
      <c r="H50" s="5"/>
      <c r="I50" s="5"/>
      <c r="J50" s="5"/>
      <c r="K50" s="5"/>
      <c r="L50" s="5"/>
      <c r="M50" s="5"/>
    </row>
    <row r="51" customFormat="false" ht="15" hidden="false" customHeight="false" outlineLevel="0" collapsed="false">
      <c r="A51" s="9" t="s">
        <v>608</v>
      </c>
      <c r="B51" s="21" t="n">
        <f aca="false">K12</f>
        <v>0.754966887417219</v>
      </c>
      <c r="C51" s="23" t="n">
        <f aca="false">Inputs!$C$62</f>
        <v>0.77</v>
      </c>
      <c r="D51" s="21" t="n">
        <f aca="false">B51-C51</f>
        <v>-0.0150331125827814</v>
      </c>
      <c r="E51" s="23" t="n">
        <f aca="false">Inputs!$C$190</f>
        <v>0.02</v>
      </c>
      <c r="F51" s="5" t="str">
        <f aca="false">IF(ABS(D51)&lt;=E51,"MATCH","FLAG")</f>
        <v>MATCH</v>
      </c>
      <c r="G51" s="5"/>
      <c r="H51" s="5"/>
      <c r="I51" s="5"/>
      <c r="J51" s="5"/>
      <c r="K51" s="5"/>
      <c r="L51" s="5"/>
      <c r="M51" s="5"/>
    </row>
    <row r="52" customFormat="false" ht="15" hidden="false" customHeight="false" outlineLevel="0" collapsed="false">
      <c r="A52" s="9" t="s">
        <v>609</v>
      </c>
      <c r="B52" s="21" t="n">
        <f aca="false">J10</f>
        <v>0.188940092165899</v>
      </c>
      <c r="C52" s="23" t="n">
        <f aca="false">Inputs!$C$63</f>
        <v>0.19</v>
      </c>
      <c r="D52" s="21" t="n">
        <f aca="false">B52-C52</f>
        <v>-0.00105990783410143</v>
      </c>
      <c r="E52" s="23" t="n">
        <f aca="false">Inputs!$C$190</f>
        <v>0.02</v>
      </c>
      <c r="F52" s="5" t="str">
        <f aca="false">IF(ABS(D52)&lt;=E52,"MATCH","FLAG")</f>
        <v>MATCH</v>
      </c>
      <c r="G52" s="5"/>
      <c r="H52" s="5"/>
      <c r="I52" s="5"/>
      <c r="J52" s="5"/>
      <c r="K52" s="5"/>
      <c r="L52" s="5"/>
      <c r="M52" s="5"/>
    </row>
    <row r="53" customFormat="false" ht="15" hidden="false" customHeight="false" outlineLevel="0" collapsed="false">
      <c r="A53" s="9" t="s">
        <v>610</v>
      </c>
      <c r="B53" s="21" t="n">
        <f aca="false">J12</f>
        <v>0.366666666666667</v>
      </c>
      <c r="C53" s="23" t="n">
        <f aca="false">Inputs!$C$64</f>
        <v>0.37</v>
      </c>
      <c r="D53" s="21" t="n">
        <f aca="false">B53-C53</f>
        <v>-0.0033333333333333</v>
      </c>
      <c r="E53" s="23" t="n">
        <f aca="false">Inputs!$C$190</f>
        <v>0.02</v>
      </c>
      <c r="F53" s="5" t="str">
        <f aca="false">IF(ABS(D53)&lt;=E53,"MATCH","FLAG")</f>
        <v>MATCH</v>
      </c>
      <c r="G53" s="5"/>
      <c r="H53" s="5"/>
      <c r="I53" s="5"/>
      <c r="J53" s="5"/>
      <c r="K53" s="5"/>
      <c r="L53" s="5"/>
      <c r="M53" s="5"/>
    </row>
    <row r="54" customFormat="false" ht="15" hidden="false" customHeight="false" outlineLevel="0" collapsed="false">
      <c r="A54" s="9" t="s">
        <v>611</v>
      </c>
      <c r="B54" s="21" t="n">
        <f aca="false">J11</f>
        <v>0.3625</v>
      </c>
      <c r="C54" s="23" t="n">
        <f aca="false">Inputs!$C$65</f>
        <v>0.35</v>
      </c>
      <c r="D54" s="21" t="n">
        <f aca="false">B54-C54</f>
        <v>0.0125000000000001</v>
      </c>
      <c r="E54" s="23" t="n">
        <f aca="false">Inputs!$C$190</f>
        <v>0.02</v>
      </c>
      <c r="F54" s="5" t="str">
        <f aca="false">IF(ABS(D54)&lt;=E54,"MATCH","FLAG")</f>
        <v>MATCH</v>
      </c>
      <c r="G54" s="5"/>
      <c r="H54" s="5"/>
      <c r="I54" s="5"/>
      <c r="J54" s="5"/>
      <c r="K54" s="5"/>
      <c r="L54" s="5"/>
      <c r="M54" s="5"/>
    </row>
    <row r="55" customFormat="false" ht="15" hidden="false" customHeight="false" outlineLevel="0" collapsed="false">
      <c r="A55" s="9" t="s">
        <v>612</v>
      </c>
      <c r="B55" s="21" t="n">
        <f aca="false">H10</f>
        <v>0.287425149700599</v>
      </c>
      <c r="C55" s="23" t="n">
        <f aca="false">Inputs!$C$66</f>
        <v>0.28</v>
      </c>
      <c r="D55" s="21" t="n">
        <f aca="false">B55-C55</f>
        <v>0.00742514970059882</v>
      </c>
      <c r="E55" s="23" t="n">
        <f aca="false">Inputs!$C$190</f>
        <v>0.02</v>
      </c>
      <c r="F55" s="5" t="str">
        <f aca="false">IF(ABS(D55)&lt;=E55,"MATCH","FLAG")</f>
        <v>MATCH</v>
      </c>
      <c r="G55" s="5"/>
      <c r="H55" s="5"/>
      <c r="I55" s="5"/>
      <c r="J55" s="5"/>
      <c r="K55" s="5"/>
      <c r="L55" s="5"/>
      <c r="M55" s="5"/>
    </row>
    <row r="56" customFormat="false" ht="15" hidden="false" customHeight="false" outlineLevel="0" collapsed="false">
      <c r="A56" s="9" t="s">
        <v>613</v>
      </c>
      <c r="B56" s="21" t="n">
        <f aca="false">H11</f>
        <v>0.418181818181818</v>
      </c>
      <c r="C56" s="23" t="n">
        <f aca="false">Inputs!$C$67</f>
        <v>0.43</v>
      </c>
      <c r="D56" s="21" t="n">
        <f aca="false">B56-C56</f>
        <v>-0.0118181818181818</v>
      </c>
      <c r="E56" s="23" t="n">
        <f aca="false">Inputs!$C$190</f>
        <v>0.02</v>
      </c>
      <c r="F56" s="5" t="str">
        <f aca="false">IF(ABS(D56)&lt;=E56,"MATCH","FLAG")</f>
        <v>MATCH</v>
      </c>
      <c r="G56" s="5"/>
      <c r="H56" s="5"/>
      <c r="I56" s="5"/>
      <c r="J56" s="5"/>
      <c r="K56" s="5"/>
      <c r="L56" s="5"/>
      <c r="M56" s="5"/>
    </row>
    <row r="57" customFormat="false" ht="15" hidden="false" customHeight="false" outlineLevel="0" collapsed="false">
      <c r="A57" s="9" t="s">
        <v>614</v>
      </c>
      <c r="B57" s="21" t="n">
        <f aca="false">H12</f>
        <v>0.461538461538461</v>
      </c>
      <c r="C57" s="23" t="n">
        <f aca="false">Inputs!$C$68</f>
        <v>0.48</v>
      </c>
      <c r="D57" s="21" t="n">
        <f aca="false">B57-C57</f>
        <v>-0.0184615384615385</v>
      </c>
      <c r="E57" s="23" t="n">
        <f aca="false">Inputs!$C$190</f>
        <v>0.02</v>
      </c>
      <c r="F57" s="5" t="str">
        <f aca="false">IF(ABS(D57)&lt;=E57,"MATCH","FLAG")</f>
        <v>MATCH</v>
      </c>
      <c r="G57" s="5"/>
      <c r="H57" s="5"/>
      <c r="I57" s="5"/>
      <c r="J57" s="5"/>
      <c r="K57" s="5"/>
      <c r="L57" s="5"/>
      <c r="M57" s="5"/>
    </row>
    <row r="58" customFormat="false" ht="15" hidden="false" customHeight="false" outlineLevel="0" collapsed="false">
      <c r="A58" s="9" t="s">
        <v>615</v>
      </c>
      <c r="B58" s="21" t="n">
        <f aca="false">G10</f>
        <v>0.25748502994012</v>
      </c>
      <c r="C58" s="23" t="n">
        <f aca="false">Inputs!$C$69</f>
        <v>0.26</v>
      </c>
      <c r="D58" s="21" t="n">
        <f aca="false">B58-C58</f>
        <v>-0.00251497005988033</v>
      </c>
      <c r="E58" s="23" t="n">
        <f aca="false">Inputs!$C$190</f>
        <v>0.02</v>
      </c>
      <c r="F58" s="5" t="str">
        <f aca="false">IF(ABS(D58)&lt;=E58,"MATCH","FLAG")</f>
        <v>MATCH</v>
      </c>
      <c r="G58" s="5"/>
      <c r="H58" s="5"/>
      <c r="I58" s="5"/>
      <c r="J58" s="5"/>
      <c r="K58" s="5"/>
      <c r="L58" s="5"/>
      <c r="M58" s="5"/>
    </row>
    <row r="59" customFormat="false" ht="15" hidden="false" customHeight="false" outlineLevel="0" collapsed="false">
      <c r="A59" s="9" t="s">
        <v>616</v>
      </c>
      <c r="B59" s="21" t="n">
        <f aca="false">G11</f>
        <v>0.309090909090909</v>
      </c>
      <c r="C59" s="23" t="n">
        <f aca="false">Inputs!$C$70</f>
        <v>0.31</v>
      </c>
      <c r="D59" s="21" t="n">
        <f aca="false">B59-C59</f>
        <v>-0.000909090909090915</v>
      </c>
      <c r="E59" s="23" t="n">
        <f aca="false">Inputs!$C$190</f>
        <v>0.02</v>
      </c>
      <c r="F59" s="5" t="str">
        <f aca="false">IF(ABS(D59)&lt;=E59,"MATCH","FLAG")</f>
        <v>MATCH</v>
      </c>
      <c r="G59" s="5"/>
      <c r="H59" s="5"/>
      <c r="I59" s="5"/>
      <c r="J59" s="5"/>
      <c r="K59" s="5"/>
      <c r="L59" s="5"/>
      <c r="M59" s="5"/>
    </row>
    <row r="60" customFormat="false" ht="15" hidden="false" customHeight="false" outlineLevel="0" collapsed="false">
      <c r="A60" s="9" t="s">
        <v>617</v>
      </c>
      <c r="B60" s="21" t="n">
        <f aca="false">F10</f>
        <v>0.0796019900497513</v>
      </c>
      <c r="C60" s="23" t="n">
        <f aca="false">Inputs!$C$71</f>
        <v>0.08</v>
      </c>
      <c r="D60" s="21" t="n">
        <f aca="false">B60-C60</f>
        <v>-0.000398009950248676</v>
      </c>
      <c r="E60" s="23" t="n">
        <f aca="false">Inputs!$C$190</f>
        <v>0.02</v>
      </c>
      <c r="F60" s="5" t="str">
        <f aca="false">IF(ABS(D60)&lt;=E60,"MATCH","FLAG")</f>
        <v>MATCH</v>
      </c>
      <c r="G60" s="5"/>
      <c r="H60" s="5"/>
      <c r="I60" s="5"/>
      <c r="J60" s="5"/>
      <c r="K60" s="5"/>
      <c r="L60" s="5"/>
      <c r="M60" s="5"/>
    </row>
    <row r="61" customFormat="false" ht="15" hidden="false" customHeight="false" outlineLevel="0" collapsed="false">
      <c r="A61" s="9" t="s">
        <v>618</v>
      </c>
      <c r="B61" s="21" t="n">
        <f aca="false">K18</f>
        <v>0.179063360881543</v>
      </c>
      <c r="C61" s="23" t="n">
        <f aca="false">Inputs!$C$72</f>
        <v>0.18</v>
      </c>
      <c r="D61" s="21" t="n">
        <f aca="false">B61-C61</f>
        <v>-0.00093663911845715</v>
      </c>
      <c r="E61" s="23" t="n">
        <f aca="false">Inputs!$C$190</f>
        <v>0.02</v>
      </c>
      <c r="F61" s="5" t="str">
        <f aca="false">IF(ABS(D61)&lt;=E61,"MATCH","FLAG")</f>
        <v>MATCH</v>
      </c>
      <c r="G61" s="5"/>
      <c r="H61" s="5"/>
      <c r="I61" s="5"/>
      <c r="J61" s="5"/>
      <c r="K61" s="5"/>
      <c r="L61" s="5"/>
      <c r="M61" s="5"/>
    </row>
    <row r="62" customFormat="false" ht="15" hidden="false" customHeight="false" outlineLevel="0" collapsed="false">
      <c r="A62" s="9" t="s">
        <v>619</v>
      </c>
      <c r="B62" s="21" t="n">
        <f aca="false">H18</f>
        <v>0.161993769470405</v>
      </c>
      <c r="C62" s="23" t="n">
        <f aca="false">Inputs!$C$74</f>
        <v>0.16</v>
      </c>
      <c r="D62" s="21" t="n">
        <f aca="false">B62-C62</f>
        <v>0.001993769470405</v>
      </c>
      <c r="E62" s="23" t="n">
        <f aca="false">Inputs!$C$190</f>
        <v>0.02</v>
      </c>
      <c r="F62" s="5" t="str">
        <f aca="false">IF(ABS(D62)&lt;=E62,"MATCH","FLAG")</f>
        <v>MATCH</v>
      </c>
      <c r="G62" s="5"/>
      <c r="H62" s="5"/>
      <c r="I62" s="5"/>
      <c r="J62" s="5"/>
      <c r="K62" s="5"/>
      <c r="L62" s="5"/>
      <c r="M62" s="5"/>
    </row>
    <row r="63" customFormat="false" ht="15" hidden="false" customHeight="false" outlineLevel="0" collapsed="false">
      <c r="A63" s="9" t="s">
        <v>620</v>
      </c>
      <c r="B63" s="21" t="n">
        <f aca="false">K8/G8-1</f>
        <v>0.0971428571428572</v>
      </c>
      <c r="C63" s="23" t="n">
        <f aca="false">Inputs!$C$73</f>
        <v>0.1</v>
      </c>
      <c r="D63" s="21" t="n">
        <f aca="false">B63-C63</f>
        <v>-0.00285714285714281</v>
      </c>
      <c r="E63" s="23" t="n">
        <f aca="false">Inputs!$C$190</f>
        <v>0.02</v>
      </c>
      <c r="F63" s="5" t="str">
        <f aca="false">IF(ABS(D63)&lt;=E63,"MATCH","FLAG")</f>
        <v>MATCH</v>
      </c>
      <c r="G63" s="5"/>
      <c r="H63" s="5"/>
      <c r="I63" s="5"/>
      <c r="J63" s="5"/>
      <c r="K63" s="5"/>
      <c r="L63" s="5"/>
      <c r="M63" s="5"/>
    </row>
    <row r="64" customFormat="false" ht="15" hidden="false" customHeight="false" outlineLevel="0" collapsed="false">
      <c r="A64" s="9" t="s">
        <v>621</v>
      </c>
      <c r="B64" s="21" t="n">
        <f aca="false">K13</f>
        <v>0.34061135371179</v>
      </c>
      <c r="C64" s="23" t="n">
        <f aca="false">Inputs!$C$75</f>
        <v>0.34</v>
      </c>
      <c r="D64" s="21" t="n">
        <f aca="false">B64-C64</f>
        <v>0.000611353711790386</v>
      </c>
      <c r="E64" s="23" t="n">
        <f aca="false">Inputs!$C$190</f>
        <v>0.02</v>
      </c>
      <c r="F64" s="5" t="str">
        <f aca="false">IF(ABS(D64)&lt;=E64,"MATCH","FLAG")</f>
        <v>MATCH</v>
      </c>
      <c r="G64" s="5"/>
      <c r="H64" s="5"/>
      <c r="I64" s="5"/>
      <c r="J64" s="5"/>
      <c r="K64" s="5"/>
      <c r="L64" s="5"/>
      <c r="M64" s="5"/>
    </row>
    <row r="65" customFormat="false" ht="15" hidden="false" customHeight="false" outlineLevel="0" collapsed="false">
      <c r="A65" s="9" t="s">
        <v>622</v>
      </c>
      <c r="B65" s="21" t="n">
        <f aca="false">K10</f>
        <v>0.0904761904761904</v>
      </c>
      <c r="C65" s="23" t="n">
        <f aca="false">Inputs!$C$76</f>
        <v>-0.11</v>
      </c>
      <c r="D65" s="21" t="n">
        <f aca="false">B65-C65</f>
        <v>0.20047619047619</v>
      </c>
      <c r="E65" s="23" t="n">
        <f aca="false">Inputs!$C$190</f>
        <v>0.02</v>
      </c>
      <c r="F65" s="5" t="str">
        <f aca="false">IF(ABS(D65)&lt;=E65,"MATCH","FLAG")</f>
        <v>FLAG</v>
      </c>
      <c r="G65" s="5"/>
      <c r="H65" s="5"/>
      <c r="I65" s="5"/>
      <c r="J65" s="5"/>
      <c r="K65" s="5"/>
      <c r="L65" s="5"/>
      <c r="M65" s="5"/>
    </row>
    <row r="66" customFormat="false" ht="15" hidden="false" customHeight="false" outlineLevel="0" collapsed="false">
      <c r="A66" s="9" t="s">
        <v>623</v>
      </c>
      <c r="B66" s="21" t="n">
        <f aca="false">B37</f>
        <v>-0.239255014326648</v>
      </c>
      <c r="C66" s="23" t="n">
        <f aca="false">Inputs!$C$76</f>
        <v>-0.11</v>
      </c>
      <c r="D66" s="21" t="n">
        <f aca="false">B66-C66</f>
        <v>-0.129255014326648</v>
      </c>
      <c r="E66" s="23" t="n">
        <f aca="false">Inputs!$C$190</f>
        <v>0.02</v>
      </c>
      <c r="F66" s="5" t="str">
        <f aca="false">IF(ABS(D66)&lt;=E66,"MATCH","FLAG")</f>
        <v>FLAG</v>
      </c>
      <c r="G66" s="5"/>
      <c r="H66" s="5"/>
      <c r="I66" s="5"/>
      <c r="J66" s="5"/>
      <c r="K66" s="5"/>
      <c r="L66" s="5"/>
      <c r="M66" s="5"/>
    </row>
    <row r="67" customFormat="false" ht="15" hidden="false" customHeight="false" outlineLevel="0" collapsed="false">
      <c r="A67" s="9" t="s">
        <v>624</v>
      </c>
      <c r="B67" s="22" t="n">
        <f aca="false">SUM(F4:I4)</f>
        <v>869</v>
      </c>
      <c r="C67" s="13" t="n">
        <f aca="false">Inputs!$C$49</f>
        <v>868</v>
      </c>
      <c r="D67" s="22" t="n">
        <f aca="false">B67-C67</f>
        <v>1</v>
      </c>
      <c r="E67" s="13" t="n">
        <f aca="false">Inputs!$C$191</f>
        <v>2</v>
      </c>
      <c r="F67" s="5" t="str">
        <f aca="false">IF(ABS(D67)&lt;=E67,"MATCH","FLAG")</f>
        <v>MATCH</v>
      </c>
      <c r="G67" s="5"/>
      <c r="H67" s="5"/>
      <c r="I67" s="5"/>
      <c r="J67" s="5"/>
      <c r="K67" s="5"/>
      <c r="L67" s="5"/>
      <c r="M67" s="5"/>
    </row>
    <row r="68" customFormat="false" ht="15" hidden="false" customHeight="false" outlineLevel="0" collapsed="false">
      <c r="A68" s="9" t="s">
        <v>625</v>
      </c>
      <c r="B68" s="22" t="n">
        <f aca="false">SUM(B5:E5)</f>
        <v>305</v>
      </c>
      <c r="C68" s="13" t="n">
        <f aca="false">Inputs!$C$51</f>
        <v>304</v>
      </c>
      <c r="D68" s="22" t="n">
        <f aca="false">B68-C68</f>
        <v>1</v>
      </c>
      <c r="E68" s="13" t="n">
        <f aca="false">Inputs!$C$191</f>
        <v>2</v>
      </c>
      <c r="F68" s="5" t="str">
        <f aca="false">IF(ABS(D68)&lt;=E68,"MATCH","FLAG")</f>
        <v>MATCH</v>
      </c>
      <c r="G68" s="5"/>
      <c r="H68" s="5"/>
      <c r="I68" s="5"/>
      <c r="J68" s="5"/>
      <c r="K68" s="5"/>
      <c r="L68" s="5"/>
      <c r="M68" s="5"/>
    </row>
    <row r="69" customFormat="false" ht="15" hidden="false" customHeight="false" outlineLevel="0" collapsed="false">
      <c r="A69" s="9" t="s">
        <v>626</v>
      </c>
      <c r="B69" s="22" t="n">
        <f aca="false">SUM(B6:E6)</f>
        <v>192.6</v>
      </c>
      <c r="C69" s="13" t="n">
        <f aca="false">Inputs!$C$54</f>
        <v>192</v>
      </c>
      <c r="D69" s="22" t="n">
        <f aca="false">B69-C69</f>
        <v>0.599999999999994</v>
      </c>
      <c r="E69" s="13" t="n">
        <f aca="false">Inputs!$C$191</f>
        <v>2</v>
      </c>
      <c r="F69" s="5" t="str">
        <f aca="false">IF(ABS(D69)&lt;=E69,"MATCH","FLAG")</f>
        <v>MATCH</v>
      </c>
      <c r="G69" s="5"/>
      <c r="H69" s="5"/>
      <c r="I69" s="5"/>
      <c r="J69" s="5"/>
      <c r="K69" s="5"/>
      <c r="L69" s="5"/>
      <c r="M69" s="5"/>
    </row>
    <row r="70" customFormat="false" ht="15" hidden="false" customHeight="false" outlineLevel="0" collapsed="false">
      <c r="A70" s="9" t="s">
        <v>627</v>
      </c>
      <c r="B70" s="22" t="n">
        <f aca="false">B39</f>
        <v>228</v>
      </c>
      <c r="C70" s="14" t="n">
        <f aca="false">K4</f>
        <v>229</v>
      </c>
      <c r="D70" s="22" t="n">
        <f aca="false">B70-C70</f>
        <v>-1</v>
      </c>
      <c r="E70" s="13" t="n">
        <f aca="false">Inputs!$C$191</f>
        <v>2</v>
      </c>
      <c r="F70" s="5" t="str">
        <f aca="false">IF(ABS(D70)&lt;=E70,"MATCH","FLAG")</f>
        <v>MATCH</v>
      </c>
      <c r="G70" s="5"/>
      <c r="H70" s="5"/>
      <c r="I70" s="5"/>
      <c r="J70" s="5"/>
      <c r="K70" s="5"/>
      <c r="L70" s="5"/>
      <c r="M70" s="5"/>
    </row>
    <row r="71" customFormat="false" ht="15" hidden="false" customHeight="false" outlineLevel="0" collapsed="false">
      <c r="A71" s="9" t="s">
        <v>628</v>
      </c>
      <c r="B71" s="22" t="n">
        <f aca="false">Inputs!$C$49-F4-G4-H4</f>
        <v>226</v>
      </c>
      <c r="C71" s="14" t="n">
        <f aca="false">I4</f>
        <v>227</v>
      </c>
      <c r="D71" s="22" t="n">
        <f aca="false">B71-C71</f>
        <v>-1</v>
      </c>
      <c r="E71" s="13" t="n">
        <f aca="false">Inputs!$C$191</f>
        <v>2</v>
      </c>
      <c r="F71" s="5" t="str">
        <f aca="false">IF(ABS(D71)&lt;=E71,"MATCH","FLAG")</f>
        <v>MATCH</v>
      </c>
      <c r="G71" s="5"/>
      <c r="H71" s="5"/>
      <c r="I71" s="5"/>
      <c r="J71" s="5"/>
      <c r="K71" s="5"/>
      <c r="L71" s="5"/>
      <c r="M71" s="5"/>
    </row>
    <row r="72" customFormat="false" ht="15" hidden="false" customHeight="false" outlineLevel="0" collapsed="false">
      <c r="A72" s="9" t="s">
        <v>629</v>
      </c>
      <c r="B72" s="24" t="n">
        <f aca="false">I7</f>
        <v>3.85</v>
      </c>
      <c r="C72" s="16" t="n">
        <f aca="false">Inputs!$C$195</f>
        <v>3.81</v>
      </c>
      <c r="D72" s="24" t="n">
        <f aca="false">B72-C72</f>
        <v>0.04</v>
      </c>
      <c r="E72" s="16" t="n">
        <f aca="false">Inputs!$C$193</f>
        <v>0.005</v>
      </c>
      <c r="F72" s="5" t="str">
        <f aca="false">IF(ABS(D72)&lt;=E72,"MATCH","FLAG")</f>
        <v>FLAG</v>
      </c>
      <c r="G72" s="5"/>
      <c r="H72" s="5"/>
      <c r="I72" s="5"/>
      <c r="J72" s="5"/>
      <c r="K72" s="5"/>
      <c r="L72" s="5"/>
      <c r="M72" s="5"/>
    </row>
    <row r="73" customFormat="false" ht="15" hidden="false" customHeight="false" outlineLevel="0" collapsed="false">
      <c r="A73" s="9" t="s">
        <v>630</v>
      </c>
      <c r="B73" s="25" t="n">
        <f aca="false">Inputs!$C$102/Inputs!$C$103</f>
        <v>2.8875</v>
      </c>
      <c r="C73" s="26" t="n">
        <f aca="false">Inputs!$C$105</f>
        <v>2.9</v>
      </c>
      <c r="D73" s="25" t="n">
        <f aca="false">B73-C73</f>
        <v>-0.0124999999999997</v>
      </c>
      <c r="E73" s="26" t="n">
        <f aca="false">Inputs!$C$194</f>
        <v>0.1</v>
      </c>
      <c r="F73" s="5" t="str">
        <f aca="false">IF(ABS(D73)&lt;=E73,"MATCH","FLAG")</f>
        <v>MATCH</v>
      </c>
      <c r="G73" s="5"/>
      <c r="H73" s="5"/>
      <c r="I73" s="5"/>
      <c r="J73" s="5"/>
      <c r="K73" s="5"/>
      <c r="L73" s="5"/>
      <c r="M73" s="5"/>
    </row>
    <row r="74" customFormat="false" ht="15" hidden="false" customHeight="false" outlineLevel="0" collapsed="false">
      <c r="A74" s="9" t="s">
        <v>631</v>
      </c>
      <c r="B74" s="25" t="n">
        <f aca="false">Inputs!$C$174/Inputs!$C$175</f>
        <v>5.81818181818182</v>
      </c>
      <c r="C74" s="26" t="n">
        <f aca="false">Inputs!$C$178</f>
        <v>5</v>
      </c>
      <c r="D74" s="25" t="n">
        <f aca="false">B74-C74</f>
        <v>0.818181818181818</v>
      </c>
      <c r="E74" s="26" t="n">
        <f aca="false">Inputs!$C$194</f>
        <v>0.1</v>
      </c>
      <c r="F74" s="5" t="str">
        <f aca="false">IF(ABS(D74)&lt;=E74,"MATCH","FLAG")</f>
        <v>FLAG</v>
      </c>
      <c r="G74" s="5"/>
      <c r="H74" s="5"/>
      <c r="I74" s="5"/>
      <c r="J74" s="5"/>
      <c r="K74" s="5"/>
      <c r="L74" s="5"/>
      <c r="M74" s="5"/>
    </row>
    <row r="75" customFormat="false" ht="15" hidden="false" customHeight="false" outlineLevel="0" collapsed="false">
      <c r="A75" s="9" t="s">
        <v>632</v>
      </c>
      <c r="B75" s="21" t="n">
        <f aca="false">Inputs!$C$167/Inputs!$C$164</f>
        <v>0.42174629324547</v>
      </c>
      <c r="C75" s="23" t="n">
        <f aca="false">Inputs!$C$172</f>
        <v>0.502</v>
      </c>
      <c r="D75" s="21" t="n">
        <f aca="false">B75-C75</f>
        <v>-0.0802537067545305</v>
      </c>
      <c r="E75" s="23" t="n">
        <f aca="false">Inputs!$C$190</f>
        <v>0.02</v>
      </c>
      <c r="F75" s="5" t="str">
        <f aca="false">IF(ABS(D75)&lt;=E75,"MATCH","FLAG")</f>
        <v>FLAG</v>
      </c>
      <c r="G75" s="5"/>
      <c r="H75" s="5"/>
      <c r="I75" s="5"/>
      <c r="J75" s="5"/>
      <c r="K75" s="5"/>
      <c r="L75" s="5"/>
      <c r="M75" s="5"/>
    </row>
    <row r="76" customFormat="false" ht="15" hidden="false" customHeight="false" outlineLevel="0" collapsed="false">
      <c r="A76" s="9" t="s">
        <v>633</v>
      </c>
      <c r="B76" s="27" t="n">
        <f aca="false">Inputs!$C$168*Inputs!$C$169</f>
        <v>5542.5624</v>
      </c>
      <c r="C76" s="28" t="n">
        <f aca="false">Inputs!$C$196</f>
        <v>5540</v>
      </c>
      <c r="D76" s="27" t="n">
        <f aca="false">B76-C76</f>
        <v>2.5623999999998</v>
      </c>
      <c r="E76" s="28" t="n">
        <f aca="false">Inputs!$C$192</f>
        <v>10</v>
      </c>
      <c r="F76" s="5" t="str">
        <f aca="false">IF(ABS(D76)&lt;=E76,"MATCH","FLAG")</f>
        <v>MATCH</v>
      </c>
      <c r="G76" s="5"/>
      <c r="H76" s="5"/>
      <c r="I76" s="5"/>
      <c r="J76" s="5"/>
      <c r="K76" s="5"/>
      <c r="L76" s="5"/>
      <c r="M76" s="5"/>
    </row>
    <row r="77" customFormat="false" ht="15" hidden="false" customHeight="false" outlineLevel="0" collapsed="false">
      <c r="A77" s="9" t="s">
        <v>634</v>
      </c>
      <c r="B77" s="27" t="n">
        <f aca="false">Inputs!$C$88*Inputs!$C$89</f>
        <v>2099.592</v>
      </c>
      <c r="C77" s="28" t="n">
        <f aca="false">Inputs!$C$197</f>
        <v>2100</v>
      </c>
      <c r="D77" s="27" t="n">
        <f aca="false">B77-C77</f>
        <v>-0.407999999999902</v>
      </c>
      <c r="E77" s="28" t="n">
        <f aca="false">Inputs!$C$192</f>
        <v>10</v>
      </c>
      <c r="F77" s="5" t="str">
        <f aca="false">IF(ABS(D77)&lt;=E77,"MATCH","FLAG")</f>
        <v>MATCH</v>
      </c>
      <c r="G77" s="5"/>
      <c r="H77" s="5"/>
      <c r="I77" s="5"/>
      <c r="J77" s="5"/>
      <c r="K77" s="5"/>
      <c r="L77" s="5"/>
      <c r="M77" s="5"/>
    </row>
    <row r="78" customFormat="false" ht="15" hidden="false" customHeight="false" outlineLevel="0" collapsed="false">
      <c r="A78" s="9" t="s">
        <v>635</v>
      </c>
      <c r="B78" s="24" t="n">
        <f aca="false">Inputs!$C$31/Inputs!$C$92</f>
        <v>91.3793103448276</v>
      </c>
      <c r="C78" s="16" t="n">
        <f aca="false">Inputs!$C$89</f>
        <v>79.53</v>
      </c>
      <c r="D78" s="24" t="n">
        <f aca="false">B78-C78</f>
        <v>11.8493103448276</v>
      </c>
      <c r="E78" s="16" t="n">
        <f aca="false">Inputs!$C$193</f>
        <v>0.005</v>
      </c>
      <c r="F78" s="5" t="str">
        <f aca="false">IF(ABS(D78)&lt;=E78,"MATCH","FLAG")</f>
        <v>FLAG</v>
      </c>
      <c r="G78" s="5"/>
      <c r="H78" s="5"/>
      <c r="I78" s="5"/>
      <c r="J78" s="5"/>
      <c r="K78" s="5"/>
      <c r="L78" s="5"/>
      <c r="M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customFormat="false" ht="15" hidden="false" customHeight="false" outlineLevel="0" collapsed="false">
      <c r="A80" s="5" t="s">
        <v>636</v>
      </c>
      <c r="B80" s="5" t="n">
        <f aca="false">COUNTIF(F46:F78,"FLAG")</f>
        <v>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customFormat="false" ht="15" hidden="false" customHeight="false" outlineLevel="0" collapsed="false">
      <c r="A81" s="5" t="s">
        <v>637</v>
      </c>
      <c r="B81" s="5" t="n">
        <f aca="false">COUNTIF(F46:F78,"MATCH")</f>
        <v>27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1" min="9" style="0" width="11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7" min="16" style="0" width="10"/>
    <col collapsed="false" customWidth="true" hidden="false" outlineLevel="0" max="18" min="18" style="0" width="34"/>
  </cols>
  <sheetData>
    <row r="1" customFormat="false" ht="15" hidden="false" customHeight="false" outlineLevel="0" collapsed="false">
      <c r="A1" s="4" t="s">
        <v>638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customFormat="false" ht="22.35" hidden="false" customHeight="false" outlineLevel="0" collapsed="false">
      <c r="A3" s="6" t="s">
        <v>639</v>
      </c>
      <c r="B3" s="6" t="s">
        <v>640</v>
      </c>
      <c r="C3" s="6" t="s">
        <v>641</v>
      </c>
      <c r="D3" s="6" t="s">
        <v>642</v>
      </c>
      <c r="E3" s="6" t="s">
        <v>643</v>
      </c>
      <c r="F3" s="6" t="s">
        <v>644</v>
      </c>
      <c r="G3" s="6" t="s">
        <v>645</v>
      </c>
      <c r="H3" s="6" t="s">
        <v>646</v>
      </c>
      <c r="I3" s="6" t="s">
        <v>647</v>
      </c>
      <c r="J3" s="6" t="s">
        <v>648</v>
      </c>
      <c r="K3" s="6" t="s">
        <v>649</v>
      </c>
      <c r="L3" s="6" t="s">
        <v>650</v>
      </c>
      <c r="M3" s="6" t="s">
        <v>651</v>
      </c>
      <c r="N3" s="6" t="s">
        <v>652</v>
      </c>
      <c r="O3" s="6" t="s">
        <v>653</v>
      </c>
      <c r="P3" s="6" t="s">
        <v>654</v>
      </c>
      <c r="Q3" s="6" t="s">
        <v>655</v>
      </c>
      <c r="R3" s="6" t="s">
        <v>656</v>
      </c>
    </row>
    <row r="4" customFormat="false" ht="15" hidden="false" customHeight="false" outlineLevel="0" collapsed="false">
      <c r="A4" s="9" t="s">
        <v>657</v>
      </c>
      <c r="B4" s="9" t="s">
        <v>658</v>
      </c>
      <c r="C4" s="16" t="n">
        <f aca="false">'Historical Build &amp; Ratios'!K7</f>
        <v>4.28</v>
      </c>
      <c r="D4" s="13" t="n">
        <f aca="false">'Historical Build &amp; Ratios'!K8</f>
        <v>19.2</v>
      </c>
      <c r="E4" s="9" t="s">
        <v>659</v>
      </c>
      <c r="F4" s="28" t="n">
        <f aca="false">'Historical Build &amp; Ratios'!E22</f>
        <v>929</v>
      </c>
      <c r="G4" s="9" t="s">
        <v>660</v>
      </c>
      <c r="H4" s="28" t="n">
        <f aca="false">'Historical Build &amp; Ratios'!E23</f>
        <v>352</v>
      </c>
      <c r="I4" s="28" t="n">
        <f aca="false">'Historical Build &amp; Ratios'!E24</f>
        <v>260.8</v>
      </c>
      <c r="J4" s="20" t="n">
        <f aca="false">Inputs!$C$88*Inputs!$C$89</f>
        <v>2099.592</v>
      </c>
      <c r="K4" s="20" t="n">
        <f aca="false">Inputs!$C$93*Inputs!$C$188-Inputs!$C$94</f>
        <v>600</v>
      </c>
      <c r="L4" s="27" t="n">
        <f aca="false">IF(ISNUMBER(K4),J4-K4,J4)</f>
        <v>1499.592</v>
      </c>
      <c r="M4" s="25" t="n">
        <f aca="false">IF(ISNUMBER(L4),L4/F4,"N/D")</f>
        <v>1.61420021528525</v>
      </c>
      <c r="N4" s="25" t="n">
        <f aca="false">IF(ISNUMBER(J4),J4/F4,"N/D")</f>
        <v>2.26005597416577</v>
      </c>
      <c r="O4" s="29" t="n">
        <f aca="false">IF(AND(ISNUMBER(J4),ISNUMBER(I4)),J4/I4,"N/D")</f>
        <v>8.05058282208589</v>
      </c>
      <c r="P4" s="21" t="n">
        <f aca="false">'Historical Build &amp; Ratios'!H25</f>
        <v>0.140515222482436</v>
      </c>
      <c r="Q4" s="30" t="n">
        <f aca="false">IF(AND(ISNUMBER(M4),ISNUMBER(P4)),IF(P4&gt;0,M4/(P4*100),"n.m."),"N/D")</f>
        <v>0.114877248654467</v>
      </c>
      <c r="R4" s="5" t="s">
        <v>661</v>
      </c>
    </row>
    <row r="5" customFormat="false" ht="15" hidden="false" customHeight="false" outlineLevel="0" collapsed="false">
      <c r="A5" s="9" t="s">
        <v>662</v>
      </c>
      <c r="B5" s="9" t="s">
        <v>663</v>
      </c>
      <c r="C5" s="16" t="n">
        <f aca="false">Inputs!$C$123</f>
        <v>0.8436</v>
      </c>
      <c r="D5" s="14" t="n">
        <f aca="false">Inputs!$C$124*Inputs!$C$110</f>
        <v>28.47675</v>
      </c>
      <c r="E5" s="9" t="s">
        <v>664</v>
      </c>
      <c r="F5" s="20" t="n">
        <f aca="false">(Inputs!$C$116+Inputs!$C$115-Inputs!$C$116/(1+Inputs!$C$117))*Inputs!$C$110</f>
        <v>1617.81613728814</v>
      </c>
      <c r="G5" s="9" t="s">
        <v>665</v>
      </c>
      <c r="H5" s="20" t="n">
        <f aca="false">Inputs!$C$118*Inputs!$C$110</f>
        <v>703.44195</v>
      </c>
      <c r="I5" s="20" t="s">
        <v>265</v>
      </c>
      <c r="J5" s="20" t="n">
        <f aca="false">Inputs!$C$122*Inputs!$C$110</f>
        <v>5841.045</v>
      </c>
      <c r="K5" s="20" t="s">
        <v>265</v>
      </c>
      <c r="L5" s="27" t="n">
        <f aca="false">IF(ISNUMBER(K5),J5-K5,J5)</f>
        <v>5841.045</v>
      </c>
      <c r="M5" s="25" t="n">
        <f aca="false">IF(ISNUMBER(L5),L5/F5,"N/D")</f>
        <v>3.61045044945036</v>
      </c>
      <c r="N5" s="25" t="n">
        <f aca="false">IF(ISNUMBER(J5),J5/F5,"N/D")</f>
        <v>3.61045044945036</v>
      </c>
      <c r="O5" s="29" t="n">
        <f aca="false">Inputs!$C$121/Inputs!$C$120</f>
        <v>11.60381613183</v>
      </c>
      <c r="P5" s="21" t="n">
        <f aca="false">Inputs!$C$117</f>
        <v>0.18</v>
      </c>
      <c r="Q5" s="30" t="n">
        <f aca="false">IF(AND(ISNUMBER(M5),ISNUMBER(P5)),IF(P5&gt;0,M5/(P5*100),"n.m."),"N/D")</f>
        <v>0.20058058052502</v>
      </c>
      <c r="R5" s="5" t="s">
        <v>666</v>
      </c>
    </row>
    <row r="6" customFormat="false" ht="15" hidden="false" customHeight="false" outlineLevel="0" collapsed="false">
      <c r="A6" s="9" t="s">
        <v>667</v>
      </c>
      <c r="B6" s="9" t="s">
        <v>663</v>
      </c>
      <c r="C6" s="16" t="n">
        <f aca="false">Inputs!$C$134</f>
        <v>0.197</v>
      </c>
      <c r="D6" s="13" t="n">
        <f aca="false">Inputs!$C$135</f>
        <v>3.4</v>
      </c>
      <c r="E6" s="9" t="s">
        <v>668</v>
      </c>
      <c r="F6" s="20" t="n">
        <f aca="false">Inputs!$C$126+Inputs!$C$125-Inputs!$C$126/(1+Inputs!$C$127)</f>
        <v>841.607142857143</v>
      </c>
      <c r="G6" s="9" t="s">
        <v>669</v>
      </c>
      <c r="H6" s="20" t="n">
        <f aca="false">Inputs!$C$129+Inputs!$C$128-Inputs!$C$129/(1+Inputs!$C$130)</f>
        <v>349.856435643564</v>
      </c>
      <c r="I6" s="28" t="n">
        <f aca="false">Inputs!$C$131</f>
        <v>281.3</v>
      </c>
      <c r="J6" s="20" t="n">
        <f aca="false">Inputs!$C$132*Inputs!$C$110</f>
        <v>3337.74</v>
      </c>
      <c r="K6" s="28" t="n">
        <f aca="false">Inputs!$C$133</f>
        <v>800</v>
      </c>
      <c r="L6" s="27" t="n">
        <f aca="false">IF(ISNUMBER(K6),J6-K6,J6)</f>
        <v>2537.74</v>
      </c>
      <c r="M6" s="25" t="n">
        <f aca="false">IF(ISNUMBER(L6),L6/F6,"N/D")</f>
        <v>3.01534988330151</v>
      </c>
      <c r="N6" s="25" t="n">
        <f aca="false">IF(ISNUMBER(J6),J6/F6,"N/D")</f>
        <v>3.96591215786124</v>
      </c>
      <c r="O6" s="29" t="n">
        <f aca="false">IF(AND(ISNUMBER(J6),ISNUMBER(I6)),J6/I6,"N/D")</f>
        <v>11.8654105936722</v>
      </c>
      <c r="P6" s="21" t="n">
        <f aca="false">Inputs!$C$127</f>
        <v>0.12</v>
      </c>
      <c r="Q6" s="30" t="n">
        <f aca="false">IF(AND(ISNUMBER(M6),ISNUMBER(P6)),IF(P6&gt;0,M6/(P6*100),"n.m."),"N/D")</f>
        <v>0.251279156941792</v>
      </c>
      <c r="R6" s="5" t="s">
        <v>670</v>
      </c>
    </row>
    <row r="7" customFormat="false" ht="15" hidden="false" customHeight="false" outlineLevel="0" collapsed="false">
      <c r="A7" s="9" t="s">
        <v>671</v>
      </c>
      <c r="B7" s="9" t="s">
        <v>658</v>
      </c>
      <c r="C7" s="16" t="n">
        <f aca="false">Inputs!$C$144</f>
        <v>5.13</v>
      </c>
      <c r="D7" s="13" t="n">
        <f aca="false">Inputs!$C$145</f>
        <v>28.5</v>
      </c>
      <c r="E7" s="9" t="s">
        <v>668</v>
      </c>
      <c r="F7" s="20" t="n">
        <f aca="false">Inputs!$C$136-Inputs!$C$138-Inputs!$C$139/(1+Inputs!$C$140)+Inputs!$C$137+Inputs!$C$139</f>
        <v>680.644370860927</v>
      </c>
      <c r="G7" s="9" t="s">
        <v>672</v>
      </c>
      <c r="H7" s="20" t="n">
        <f aca="false">Inputs!$C$141*4</f>
        <v>250.4</v>
      </c>
      <c r="I7" s="20" t="s">
        <v>265</v>
      </c>
      <c r="J7" s="28" t="n">
        <f aca="false">Inputs!$C$143</f>
        <v>4380</v>
      </c>
      <c r="K7" s="20" t="s">
        <v>265</v>
      </c>
      <c r="L7" s="27" t="n">
        <f aca="false">IF(ISNUMBER(K7),J7-K7,J7)</f>
        <v>4380</v>
      </c>
      <c r="M7" s="25" t="n">
        <f aca="false">IF(ISNUMBER(L7),L7/F7,"N/D")</f>
        <v>6.43507856306791</v>
      </c>
      <c r="N7" s="25" t="n">
        <f aca="false">IF(ISNUMBER(J7),J7/F7,"N/D")</f>
        <v>6.43507856306791</v>
      </c>
      <c r="O7" s="29" t="str">
        <f aca="false">IF(AND(ISNUMBER(J7),ISNUMBER(I7)),J7/I7,"N/D")</f>
        <v>N/D</v>
      </c>
      <c r="P7" s="21" t="n">
        <f aca="false">(Inputs!$C$137+Inputs!$C$139)/(Inputs!$C$138+Inputs!$C$139/(1+Inputs!$C$140))-1</f>
        <v>0.440240484585481</v>
      </c>
      <c r="Q7" s="30" t="n">
        <f aca="false">IF(AND(ISNUMBER(M7),ISNUMBER(P7)),IF(P7&gt;0,M7/(P7*100),"n.m."),"N/D")</f>
        <v>0.146171894416458</v>
      </c>
      <c r="R7" s="5" t="s">
        <v>673</v>
      </c>
    </row>
    <row r="8" customFormat="false" ht="15" hidden="false" customHeight="false" outlineLevel="0" collapsed="false">
      <c r="A8" s="9" t="s">
        <v>674</v>
      </c>
      <c r="B8" s="9" t="s">
        <v>675</v>
      </c>
      <c r="C8" s="16" t="n">
        <f aca="false">Inputs!$C$154</f>
        <v>1.49</v>
      </c>
      <c r="D8" s="14" t="s">
        <v>265</v>
      </c>
      <c r="E8" s="9" t="s">
        <v>676</v>
      </c>
      <c r="F8" s="20" t="n">
        <f aca="false">(Inputs!$C$147+Inputs!$C$146-Inputs!$C$147/(1+Inputs!$C$148))*Inputs!$C$113</f>
        <v>828.672887148581</v>
      </c>
      <c r="G8" s="9" t="s">
        <v>677</v>
      </c>
      <c r="H8" s="20" t="n">
        <f aca="false">Inputs!$C$152*2*Inputs!$C$113</f>
        <v>655.32672</v>
      </c>
      <c r="I8" s="20" t="n">
        <f aca="false">(Inputs!$C$150+Inputs!$C$149-Inputs!$C$150/(1+Inputs!$C$151))*Inputs!$C$113</f>
        <v>339.772924670659</v>
      </c>
      <c r="J8" s="20" t="n">
        <f aca="false">Inputs!$C$153*Inputs!$C$113</f>
        <v>4947.2856</v>
      </c>
      <c r="K8" s="20" t="s">
        <v>265</v>
      </c>
      <c r="L8" s="27" t="n">
        <f aca="false">IF(ISNUMBER(K8),J8-K8,J8)</f>
        <v>4947.2856</v>
      </c>
      <c r="M8" s="25" t="n">
        <f aca="false">IF(ISNUMBER(L8),L8/F8,"N/D")</f>
        <v>5.97013088846595</v>
      </c>
      <c r="N8" s="25" t="n">
        <f aca="false">IF(ISNUMBER(J8),J8/F8,"N/D")</f>
        <v>5.97013088846595</v>
      </c>
      <c r="O8" s="29" t="n">
        <f aca="false">IF(AND(ISNUMBER(J8),ISNUMBER(I8)),J8/I8,"N/D")</f>
        <v>14.560564544086</v>
      </c>
      <c r="P8" s="21" t="n">
        <f aca="false">Inputs!$C$148</f>
        <v>0.797</v>
      </c>
      <c r="Q8" s="30" t="n">
        <f aca="false">IF(AND(ISNUMBER(M8),ISNUMBER(P8)),IF(P8&gt;0,M8/(P8*100),"n.m."),"N/D")</f>
        <v>0.0749075393784937</v>
      </c>
      <c r="R8" s="5" t="s">
        <v>678</v>
      </c>
    </row>
    <row r="9" customFormat="false" ht="15" hidden="false" customHeight="false" outlineLevel="0" collapsed="false">
      <c r="A9" s="9" t="s">
        <v>679</v>
      </c>
      <c r="B9" s="9" t="s">
        <v>680</v>
      </c>
      <c r="C9" s="16" t="n">
        <f aca="false">Inputs!$C$160</f>
        <v>4.5</v>
      </c>
      <c r="D9" s="14" t="n">
        <f aca="false">Inputs!$C$161*Inputs!$C$110</f>
        <v>43.033005</v>
      </c>
      <c r="E9" s="9" t="s">
        <v>681</v>
      </c>
      <c r="F9" s="20" t="n">
        <f aca="false">Inputs!$C$156*Inputs!$C$110</f>
        <v>367.6812</v>
      </c>
      <c r="G9" s="9" t="s">
        <v>682</v>
      </c>
      <c r="H9" s="20" t="n">
        <f aca="false">Inputs!$C$158*Inputs!$C$110</f>
        <v>163.04595</v>
      </c>
      <c r="I9" s="20" t="n">
        <f aca="false">Inputs!$C$159*Inputs!$C$110</f>
        <v>122.1189</v>
      </c>
      <c r="J9" s="20" t="s">
        <v>265</v>
      </c>
      <c r="K9" s="20" t="s">
        <v>265</v>
      </c>
      <c r="L9" s="27" t="s">
        <v>265</v>
      </c>
      <c r="M9" s="25" t="str">
        <f aca="false">IF(ISNUMBER(L9),L9/F9,"N/D")</f>
        <v>N/D</v>
      </c>
      <c r="N9" s="25" t="str">
        <f aca="false">IF(ISNUMBER(J9),J9/F9,"N/D")</f>
        <v>N/D</v>
      </c>
      <c r="O9" s="29" t="str">
        <f aca="false">IF(AND(ISNUMBER(J9),ISNUMBER(I9)),J9/I9,"N/D")</f>
        <v>N/D</v>
      </c>
      <c r="P9" s="21" t="n">
        <f aca="false">Inputs!$C$156/Inputs!$C$157-1</f>
        <v>0.716759431045146</v>
      </c>
      <c r="Q9" s="30" t="str">
        <f aca="false">IF(AND(ISNUMBER(M9),ISNUMBER(P9)),IF(P9&gt;0,M9/(P9*100),"n.m."),"N/D")</f>
        <v>N/D</v>
      </c>
      <c r="R9" s="5" t="s">
        <v>683</v>
      </c>
    </row>
    <row r="10" customFormat="false" ht="15" hidden="false" customHeight="false" outlineLevel="0" collapsed="false">
      <c r="A10" s="9" t="s">
        <v>684</v>
      </c>
      <c r="B10" s="9" t="s">
        <v>685</v>
      </c>
      <c r="C10" s="16" t="n">
        <f aca="false">Inputs!$C$170</f>
        <v>1.2</v>
      </c>
      <c r="D10" s="14" t="n">
        <f aca="false">Inputs!$C$171/Inputs!$C$112</f>
        <v>116.277665753028</v>
      </c>
      <c r="E10" s="9" t="s">
        <v>686</v>
      </c>
      <c r="F10" s="20" t="n">
        <f aca="false">(Inputs!$C$162-Inputs!$C$163+Inputs!$C$164)/Inputs!$C$112</f>
        <v>880.83652302008</v>
      </c>
      <c r="G10" s="9" t="s">
        <v>687</v>
      </c>
      <c r="H10" s="20" t="n">
        <f aca="false">(Inputs!$C$165-Inputs!$C$166+Inputs!$C$167)/Inputs!$C$112</f>
        <v>502.058706335503</v>
      </c>
      <c r="I10" s="20" t="s">
        <v>265</v>
      </c>
      <c r="J10" s="20" t="n">
        <f aca="false">Inputs!$C$168*Inputs!$C$169/Inputs!$C$112</f>
        <v>6692.38025090861</v>
      </c>
      <c r="K10" s="20" t="s">
        <v>265</v>
      </c>
      <c r="L10" s="27" t="n">
        <f aca="false">IF(ISNUMBER(K10),J10-K10,J10)</f>
        <v>6692.38025090861</v>
      </c>
      <c r="M10" s="25" t="n">
        <f aca="false">IF(ISNUMBER(L10),L10/F10,"N/D")</f>
        <v>7.59775517477724</v>
      </c>
      <c r="N10" s="25" t="n">
        <f aca="false">IF(ISNUMBER(J10),J10/F10,"N/D")</f>
        <v>7.59775517477724</v>
      </c>
      <c r="O10" s="29" t="str">
        <f aca="false">IF(AND(ISNUMBER(J10),ISNUMBER(I10)),J10/I10,"N/D")</f>
        <v>N/D</v>
      </c>
      <c r="P10" s="21" t="n">
        <f aca="false">Inputs!$C$164/Inputs!$C$163-1</f>
        <v>0.01731843575419</v>
      </c>
      <c r="Q10" s="30" t="n">
        <f aca="false">IF(AND(ISNUMBER(M10),ISNUMBER(P10)),IF(P10&gt;0,M10/(P10*100),"n.m."),"N/D")</f>
        <v>4.38709089124233</v>
      </c>
      <c r="R10" s="5" t="s">
        <v>688</v>
      </c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15" hidden="false" customHeight="false" outlineLevel="0" collapsed="false">
      <c r="A12" s="9" t="s">
        <v>689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customFormat="false" ht="15" hidden="false" customHeight="false" outlineLevel="0" collapsed="false">
      <c r="A13" s="9" t="s">
        <v>690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5" hidden="false" customHeight="false" outlineLevel="0" collapsed="false">
      <c r="A14" s="9" t="s">
        <v>691</v>
      </c>
      <c r="B14" s="5"/>
      <c r="C14" s="5"/>
      <c r="D14" s="5"/>
      <c r="E14" s="5"/>
      <c r="F14" s="5" t="n">
        <f aca="false">RANK(C4,C4:C10)</f>
        <v>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5" hidden="false" customHeight="false" outlineLevel="0" collapsed="false">
      <c r="A15" s="9" t="s">
        <v>692</v>
      </c>
      <c r="B15" s="5"/>
      <c r="C15" s="5"/>
      <c r="D15" s="5"/>
      <c r="E15" s="5"/>
      <c r="F15" s="5" t="n">
        <f aca="false">RANK(F4,F4:F10)</f>
        <v>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5" hidden="false" customHeight="false" outlineLevel="0" collapsed="false">
      <c r="A16" s="9" t="s">
        <v>693</v>
      </c>
      <c r="B16" s="5"/>
      <c r="C16" s="5"/>
      <c r="D16" s="5"/>
      <c r="E16" s="5"/>
      <c r="F16" s="5" t="n">
        <f aca="false">RANK(D4,D4:D10)</f>
        <v>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15" hidden="false" customHeight="false" outlineLevel="0" collapsed="false">
      <c r="A17" s="9" t="s">
        <v>694</v>
      </c>
      <c r="B17" s="5"/>
      <c r="C17" s="5"/>
      <c r="D17" s="5"/>
      <c r="E17" s="5"/>
      <c r="F17" s="25" t="n">
        <f aca="false">MEDIAN(N5:N8,N10)</f>
        <v>5.97013088846595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15" hidden="false" customHeight="false" outlineLevel="0" collapsed="false">
      <c r="A18" s="9" t="s">
        <v>695</v>
      </c>
      <c r="B18" s="5"/>
      <c r="C18" s="5"/>
      <c r="D18" s="5"/>
      <c r="E18" s="5"/>
      <c r="F18" s="25" t="n">
        <f aca="false">MEDIAN(O5,O6,O8)</f>
        <v>11.8654105936722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customFormat="false" ht="15" hidden="false" customHeight="false" outlineLevel="0" collapsed="false">
      <c r="A19" s="9" t="s">
        <v>696</v>
      </c>
      <c r="B19" s="5"/>
      <c r="C19" s="5"/>
      <c r="D19" s="5"/>
      <c r="E19" s="5"/>
      <c r="F19" s="25" t="n">
        <f aca="false">L6/H6</f>
        <v>7.25366104908661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customFormat="false" ht="15" hidden="false" customHeight="false" outlineLevel="0" collapsed="false">
      <c r="A20" s="9" t="s">
        <v>697</v>
      </c>
      <c r="B20" s="5"/>
      <c r="C20" s="5"/>
      <c r="D20" s="5"/>
      <c r="E20" s="5"/>
      <c r="F20" s="25" t="n">
        <f aca="false">J5/H5</f>
        <v>8.30352099416306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customFormat="false" ht="22.35" hidden="false" customHeight="false" outlineLevel="0" collapsed="false">
      <c r="A23" s="6" t="s">
        <v>698</v>
      </c>
      <c r="B23" s="6" t="s">
        <v>699</v>
      </c>
      <c r="C23" s="6" t="s">
        <v>700</v>
      </c>
      <c r="D23" s="6" t="s">
        <v>701</v>
      </c>
      <c r="E23" s="6" t="s">
        <v>702</v>
      </c>
      <c r="F23" s="6" t="s">
        <v>703</v>
      </c>
      <c r="G23" s="6" t="s">
        <v>704</v>
      </c>
      <c r="H23" s="6" t="s">
        <v>705</v>
      </c>
      <c r="I23" s="5"/>
      <c r="J23" s="5"/>
      <c r="K23" s="5"/>
      <c r="L23" s="5"/>
      <c r="M23" s="5"/>
      <c r="N23" s="5"/>
      <c r="O23" s="5"/>
      <c r="P23" s="5"/>
      <c r="Q23" s="5"/>
      <c r="R23" s="5"/>
    </row>
    <row r="24" customFormat="false" ht="15" hidden="false" customHeight="false" outlineLevel="0" collapsed="false">
      <c r="A24" s="9" t="s">
        <v>706</v>
      </c>
      <c r="B24" s="31" t="s">
        <v>707</v>
      </c>
      <c r="C24" s="31" t="s">
        <v>708</v>
      </c>
      <c r="D24" s="31" t="s">
        <v>707</v>
      </c>
      <c r="E24" s="31" t="s">
        <v>707</v>
      </c>
      <c r="F24" s="5" t="n">
        <f aca="false">COUNTIF(B24:E24,"Strong")</f>
        <v>0</v>
      </c>
      <c r="G24" s="5" t="n">
        <f aca="false">COUNTIF(B24:E24,"Moderate")</f>
        <v>3</v>
      </c>
      <c r="H24" s="9" t="s">
        <v>709</v>
      </c>
      <c r="I24" s="5"/>
      <c r="J24" s="5"/>
      <c r="K24" s="5"/>
      <c r="L24" s="5"/>
      <c r="M24" s="5"/>
      <c r="N24" s="5"/>
      <c r="O24" s="5"/>
      <c r="P24" s="5"/>
      <c r="Q24" s="5"/>
      <c r="R24" s="5"/>
    </row>
    <row r="25" customFormat="false" ht="15" hidden="false" customHeight="false" outlineLevel="0" collapsed="false">
      <c r="A25" s="9" t="s">
        <v>710</v>
      </c>
      <c r="B25" s="31" t="s">
        <v>708</v>
      </c>
      <c r="C25" s="31" t="s">
        <v>707</v>
      </c>
      <c r="D25" s="31" t="s">
        <v>707</v>
      </c>
      <c r="E25" s="31" t="s">
        <v>707</v>
      </c>
      <c r="F25" s="5" t="n">
        <f aca="false">COUNTIF(B25:E25,"Strong")</f>
        <v>0</v>
      </c>
      <c r="G25" s="5" t="n">
        <f aca="false">COUNTIF(B25:E25,"Moderate")</f>
        <v>3</v>
      </c>
      <c r="H25" s="9" t="s">
        <v>711</v>
      </c>
      <c r="I25" s="5"/>
      <c r="J25" s="5"/>
      <c r="K25" s="5"/>
      <c r="L25" s="5"/>
      <c r="M25" s="5"/>
      <c r="N25" s="5"/>
      <c r="O25" s="5"/>
      <c r="P25" s="5"/>
      <c r="Q25" s="5"/>
      <c r="R25" s="5"/>
    </row>
    <row r="26" customFormat="false" ht="15" hidden="false" customHeight="false" outlineLevel="0" collapsed="false">
      <c r="A26" s="9" t="s">
        <v>667</v>
      </c>
      <c r="B26" s="31" t="s">
        <v>708</v>
      </c>
      <c r="C26" s="31" t="s">
        <v>708</v>
      </c>
      <c r="D26" s="31" t="s">
        <v>707</v>
      </c>
      <c r="E26" s="31" t="s">
        <v>707</v>
      </c>
      <c r="F26" s="5" t="n">
        <f aca="false">COUNTIF(B26:E26,"Strong")</f>
        <v>0</v>
      </c>
      <c r="G26" s="5" t="n">
        <f aca="false">COUNTIF(B26:E26,"Moderate")</f>
        <v>2</v>
      </c>
      <c r="H26" s="9" t="s">
        <v>712</v>
      </c>
      <c r="I26" s="5"/>
      <c r="J26" s="5"/>
      <c r="K26" s="5"/>
      <c r="L26" s="5"/>
      <c r="M26" s="5"/>
      <c r="N26" s="5"/>
      <c r="O26" s="5"/>
      <c r="P26" s="5"/>
      <c r="Q26" s="5"/>
      <c r="R26" s="5"/>
    </row>
    <row r="27" customFormat="false" ht="15" hidden="false" customHeight="false" outlineLevel="0" collapsed="false">
      <c r="A27" s="9" t="s">
        <v>671</v>
      </c>
      <c r="B27" s="31" t="s">
        <v>708</v>
      </c>
      <c r="C27" s="31" t="s">
        <v>708</v>
      </c>
      <c r="D27" s="31" t="s">
        <v>707</v>
      </c>
      <c r="E27" s="31" t="s">
        <v>707</v>
      </c>
      <c r="F27" s="5" t="n">
        <f aca="false">COUNTIF(B27:E27,"Strong")</f>
        <v>0</v>
      </c>
      <c r="G27" s="5" t="n">
        <f aca="false">COUNTIF(B27:E27,"Moderate")</f>
        <v>2</v>
      </c>
      <c r="H27" s="9" t="s">
        <v>713</v>
      </c>
      <c r="I27" s="5"/>
      <c r="J27" s="5"/>
      <c r="K27" s="5"/>
      <c r="L27" s="5"/>
      <c r="M27" s="5"/>
      <c r="N27" s="5"/>
      <c r="O27" s="5"/>
      <c r="P27" s="5"/>
      <c r="Q27" s="5"/>
      <c r="R27" s="5"/>
    </row>
    <row r="28" customFormat="false" ht="15" hidden="false" customHeight="false" outlineLevel="0" collapsed="false">
      <c r="A28" s="9" t="s">
        <v>674</v>
      </c>
      <c r="B28" s="31" t="s">
        <v>708</v>
      </c>
      <c r="C28" s="31" t="s">
        <v>708</v>
      </c>
      <c r="D28" s="31" t="s">
        <v>707</v>
      </c>
      <c r="E28" s="31" t="s">
        <v>707</v>
      </c>
      <c r="F28" s="5" t="n">
        <f aca="false">COUNTIF(B28:E28,"Strong")</f>
        <v>0</v>
      </c>
      <c r="G28" s="5" t="n">
        <f aca="false">COUNTIF(B28:E28,"Moderate")</f>
        <v>2</v>
      </c>
      <c r="H28" s="9" t="s">
        <v>714</v>
      </c>
      <c r="I28" s="5"/>
      <c r="J28" s="5"/>
      <c r="K28" s="5"/>
      <c r="L28" s="5"/>
      <c r="M28" s="5"/>
      <c r="N28" s="5"/>
      <c r="O28" s="5"/>
      <c r="P28" s="5"/>
      <c r="Q28" s="5"/>
      <c r="R28" s="5"/>
    </row>
    <row r="29" customFormat="false" ht="15" hidden="false" customHeight="false" outlineLevel="0" collapsed="false">
      <c r="A29" s="9" t="s">
        <v>715</v>
      </c>
      <c r="B29" s="31" t="s">
        <v>708</v>
      </c>
      <c r="C29" s="31" t="s">
        <v>707</v>
      </c>
      <c r="D29" s="31" t="s">
        <v>707</v>
      </c>
      <c r="E29" s="31" t="s">
        <v>708</v>
      </c>
      <c r="F29" s="5" t="n">
        <f aca="false">COUNTIF(B29:E29,"Strong")</f>
        <v>0</v>
      </c>
      <c r="G29" s="5" t="n">
        <f aca="false">COUNTIF(B29:E29,"Moderate")</f>
        <v>2</v>
      </c>
      <c r="H29" s="9" t="s">
        <v>716</v>
      </c>
      <c r="I29" s="5"/>
      <c r="J29" s="5"/>
      <c r="K29" s="5"/>
      <c r="L29" s="5"/>
      <c r="M29" s="5"/>
      <c r="N29" s="5"/>
      <c r="O29" s="5"/>
      <c r="P29" s="5"/>
      <c r="Q29" s="5"/>
      <c r="R29" s="5"/>
    </row>
    <row r="30" customFormat="false" ht="15" hidden="false" customHeight="false" outlineLevel="0" collapsed="false">
      <c r="A30" s="9" t="s">
        <v>684</v>
      </c>
      <c r="B30" s="31" t="s">
        <v>708</v>
      </c>
      <c r="C30" s="31" t="s">
        <v>707</v>
      </c>
      <c r="D30" s="31" t="s">
        <v>707</v>
      </c>
      <c r="E30" s="31" t="s">
        <v>707</v>
      </c>
      <c r="F30" s="5" t="n">
        <f aca="false">COUNTIF(B30:E30,"Strong")</f>
        <v>0</v>
      </c>
      <c r="G30" s="5" t="n">
        <f aca="false">COUNTIF(B30:E30,"Moderate")</f>
        <v>3</v>
      </c>
      <c r="H30" s="9" t="s">
        <v>717</v>
      </c>
      <c r="I30" s="5"/>
      <c r="J30" s="5"/>
      <c r="K30" s="5"/>
      <c r="L30" s="5"/>
      <c r="M30" s="5"/>
      <c r="N30" s="5"/>
      <c r="O30" s="5"/>
      <c r="P30" s="5"/>
      <c r="Q30" s="5"/>
      <c r="R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customFormat="false" ht="15" hidden="false" customHeight="false" outlineLevel="0" collapsed="false">
      <c r="A32" s="5" t="s">
        <v>718</v>
      </c>
      <c r="B32" s="5"/>
      <c r="C32" s="5"/>
      <c r="D32" s="5"/>
      <c r="E32" s="5"/>
      <c r="F32" s="5" t="n">
        <f aca="false">SUM(F24:F30)</f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3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4" t="s">
        <v>719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</row>
    <row r="3" customFormat="false" ht="15" hidden="false" customHeight="false" outlineLevel="0" collapsed="false">
      <c r="A3" s="6" t="s">
        <v>720</v>
      </c>
      <c r="B3" s="6" t="s">
        <v>721</v>
      </c>
      <c r="C3" s="6" t="s">
        <v>722</v>
      </c>
      <c r="D3" s="6" t="s">
        <v>723</v>
      </c>
      <c r="E3" s="6"/>
      <c r="F3" s="6" t="s">
        <v>28</v>
      </c>
    </row>
    <row r="4" customFormat="false" ht="15" hidden="false" customHeight="false" outlineLevel="0" collapsed="false">
      <c r="A4" s="5" t="s">
        <v>724</v>
      </c>
      <c r="B4" s="27" t="n">
        <f aca="false">Inputs!$C$89</f>
        <v>79.53</v>
      </c>
      <c r="C4" s="27" t="n">
        <f aca="false">Inputs!$C$90</f>
        <v>82.85</v>
      </c>
      <c r="D4" s="27" t="n">
        <f aca="false">'Historical Build &amp; Ratios'!B78</f>
        <v>91.3793103448276</v>
      </c>
      <c r="E4" s="5"/>
      <c r="F4" s="5" t="s">
        <v>725</v>
      </c>
    </row>
    <row r="5" customFormat="false" ht="15" hidden="false" customHeight="false" outlineLevel="0" collapsed="false">
      <c r="A5" s="5" t="s">
        <v>726</v>
      </c>
      <c r="B5" s="27" t="n">
        <f aca="false">B4*Inputs!$C$88</f>
        <v>2099.592</v>
      </c>
      <c r="C5" s="27" t="n">
        <f aca="false">C4*Inputs!$C$88</f>
        <v>2187.24</v>
      </c>
      <c r="D5" s="27" t="n">
        <f aca="false">D4*Inputs!$C$88</f>
        <v>2412.41379310345</v>
      </c>
      <c r="E5" s="5"/>
      <c r="F5" s="5"/>
    </row>
    <row r="6" customFormat="false" ht="15" hidden="false" customHeight="false" outlineLevel="0" collapsed="false">
      <c r="A6" s="5" t="s">
        <v>727</v>
      </c>
      <c r="B6" s="27" t="n">
        <f aca="false">B$5-Inputs!$C$93*Inputs!$C$187+Inputs!$C$94</f>
        <v>899.592</v>
      </c>
      <c r="C6" s="27" t="n">
        <f aca="false">C$5-Inputs!$C$93*Inputs!$C$187+Inputs!$C$94</f>
        <v>987.24</v>
      </c>
      <c r="D6" s="27" t="n">
        <f aca="false">D$5-Inputs!$C$93*Inputs!$C$187+Inputs!$C$94</f>
        <v>1212.41379310345</v>
      </c>
      <c r="E6" s="5"/>
      <c r="F6" s="5" t="s">
        <v>728</v>
      </c>
    </row>
    <row r="7" customFormat="false" ht="15" hidden="false" customHeight="false" outlineLevel="0" collapsed="false">
      <c r="A7" s="5" t="s">
        <v>729</v>
      </c>
      <c r="B7" s="27" t="n">
        <f aca="false">B$5-Inputs!$C$93*Inputs!$C$188+Inputs!$C$94</f>
        <v>1499.592</v>
      </c>
      <c r="C7" s="27" t="n">
        <f aca="false">C$5-Inputs!$C$93*Inputs!$C$188+Inputs!$C$94</f>
        <v>1587.24</v>
      </c>
      <c r="D7" s="27" t="n">
        <f aca="false">D$5-Inputs!$C$93*Inputs!$C$188+Inputs!$C$94</f>
        <v>1812.41379310345</v>
      </c>
      <c r="E7" s="5"/>
      <c r="F7" s="5"/>
    </row>
    <row r="8" customFormat="false" ht="15" hidden="false" customHeight="false" outlineLevel="0" collapsed="false">
      <c r="A8" s="5" t="s">
        <v>730</v>
      </c>
      <c r="B8" s="27" t="n">
        <f aca="false">B$5-Inputs!$C$93*Inputs!$C$189+Inputs!$C$94</f>
        <v>2099.592</v>
      </c>
      <c r="C8" s="27" t="n">
        <f aca="false">C$5-Inputs!$C$93*Inputs!$C$189+Inputs!$C$94</f>
        <v>2187.24</v>
      </c>
      <c r="D8" s="27" t="n">
        <f aca="false">D$5-Inputs!$C$93*Inputs!$C$189+Inputs!$C$94</f>
        <v>2412.41379310345</v>
      </c>
      <c r="E8" s="5"/>
      <c r="F8" s="5"/>
    </row>
    <row r="9" customFormat="false" ht="15" hidden="false" customHeight="false" outlineLevel="0" collapsed="false">
      <c r="A9" s="5" t="s">
        <v>731</v>
      </c>
      <c r="B9" s="25" t="n">
        <f aca="false">B6/'Historical Build &amp; Ratios'!E22</f>
        <v>0.968344456404736</v>
      </c>
      <c r="C9" s="25" t="n">
        <f aca="false">C6/'Historical Build &amp; Ratios'!E22</f>
        <v>1.062691065662</v>
      </c>
      <c r="D9" s="25" t="n">
        <f aca="false">D6/'Historical Build &amp; Ratios'!E22</f>
        <v>1.30507405070339</v>
      </c>
      <c r="E9" s="5"/>
      <c r="F9" s="5"/>
    </row>
    <row r="10" customFormat="false" ht="15" hidden="false" customHeight="false" outlineLevel="0" collapsed="false">
      <c r="A10" s="5" t="s">
        <v>732</v>
      </c>
      <c r="B10" s="25" t="n">
        <f aca="false">B7/'Historical Build &amp; Ratios'!E22</f>
        <v>1.61420021528525</v>
      </c>
      <c r="C10" s="25" t="n">
        <f aca="false">C7/'Historical Build &amp; Ratios'!E22</f>
        <v>1.70854682454252</v>
      </c>
      <c r="D10" s="25" t="n">
        <f aca="false">D7/'Historical Build &amp; Ratios'!E22</f>
        <v>1.95092980958391</v>
      </c>
      <c r="E10" s="5"/>
      <c r="F10" s="5"/>
    </row>
    <row r="11" customFormat="false" ht="15" hidden="false" customHeight="false" outlineLevel="0" collapsed="false">
      <c r="A11" s="5" t="s">
        <v>733</v>
      </c>
      <c r="B11" s="25" t="n">
        <f aca="false">B8/'Historical Build &amp; Ratios'!E22</f>
        <v>2.26005597416577</v>
      </c>
      <c r="C11" s="25" t="n">
        <f aca="false">C8/'Historical Build &amp; Ratios'!E22</f>
        <v>2.35440258342304</v>
      </c>
      <c r="D11" s="25" t="n">
        <f aca="false">D8/'Historical Build &amp; Ratios'!E22</f>
        <v>2.59678556846442</v>
      </c>
      <c r="E11" s="5"/>
      <c r="F11" s="5"/>
    </row>
    <row r="12" customFormat="false" ht="15" hidden="false" customHeight="false" outlineLevel="0" collapsed="false">
      <c r="A12" s="5" t="s">
        <v>734</v>
      </c>
      <c r="B12" s="25" t="n">
        <f aca="false">B6/'Historical Build &amp; Ratios'!E23</f>
        <v>2.55565909090909</v>
      </c>
      <c r="C12" s="25" t="n">
        <f aca="false">C6/'Historical Build &amp; Ratios'!E23</f>
        <v>2.80465909090909</v>
      </c>
      <c r="D12" s="25" t="n">
        <f aca="false">D6/'Historical Build &amp; Ratios'!E23</f>
        <v>3.44435736677116</v>
      </c>
      <c r="E12" s="5"/>
      <c r="F12" s="5"/>
    </row>
    <row r="13" customFormat="false" ht="15" hidden="false" customHeight="false" outlineLevel="0" collapsed="false">
      <c r="A13" s="5" t="s">
        <v>735</v>
      </c>
      <c r="B13" s="25" t="n">
        <f aca="false">B7/'Historical Build &amp; Ratios'!E23</f>
        <v>4.26020454545455</v>
      </c>
      <c r="C13" s="25" t="n">
        <f aca="false">C7/'Historical Build &amp; Ratios'!E23</f>
        <v>4.50920454545455</v>
      </c>
      <c r="D13" s="25" t="n">
        <f aca="false">D7/'Historical Build &amp; Ratios'!E23</f>
        <v>5.14890282131661</v>
      </c>
      <c r="E13" s="5"/>
      <c r="F13" s="5"/>
    </row>
    <row r="14" customFormat="false" ht="15" hidden="false" customHeight="false" outlineLevel="0" collapsed="false">
      <c r="A14" s="5" t="s">
        <v>736</v>
      </c>
      <c r="B14" s="25" t="n">
        <f aca="false">B8/'Historical Build &amp; Ratios'!E23</f>
        <v>5.96475</v>
      </c>
      <c r="C14" s="25" t="n">
        <f aca="false">C8/'Historical Build &amp; Ratios'!E23</f>
        <v>6.21375</v>
      </c>
      <c r="D14" s="25" t="n">
        <f aca="false">D8/'Historical Build &amp; Ratios'!E23</f>
        <v>6.85344827586207</v>
      </c>
      <c r="E14" s="5"/>
      <c r="F14" s="5"/>
    </row>
    <row r="15" customFormat="false" ht="15" hidden="false" customHeight="false" outlineLevel="0" collapsed="false">
      <c r="A15" s="5" t="s">
        <v>737</v>
      </c>
      <c r="B15" s="25" t="n">
        <f aca="false">B5/'Historical Build &amp; Ratios'!E24</f>
        <v>8.05058282208589</v>
      </c>
      <c r="C15" s="25" t="n">
        <f aca="false">C5/'Historical Build &amp; Ratios'!E24</f>
        <v>8.38665644171779</v>
      </c>
      <c r="D15" s="25" t="n">
        <f aca="false">D5/'Historical Build &amp; Ratios'!E24</f>
        <v>9.2500528876666</v>
      </c>
      <c r="E15" s="5"/>
      <c r="F15" s="5"/>
    </row>
    <row r="16" customFormat="false" ht="15" hidden="false" customHeight="false" outlineLevel="0" collapsed="false">
      <c r="A16" s="5" t="s">
        <v>738</v>
      </c>
      <c r="B16" s="27" t="n">
        <f aca="false">B7/'Historical Build &amp; Ratios'!K7</f>
        <v>350.371962616822</v>
      </c>
      <c r="C16" s="27" t="n">
        <f aca="false">C7/'Historical Build &amp; Ratios'!K7</f>
        <v>370.85046728972</v>
      </c>
      <c r="D16" s="27" t="n">
        <f aca="false">D7/'Historical Build &amp; Ratios'!K7</f>
        <v>423.461166612955</v>
      </c>
      <c r="E16" s="5"/>
      <c r="F16" s="5"/>
    </row>
    <row r="17" customFormat="false" ht="15" hidden="false" customHeight="false" outlineLevel="0" collapsed="false">
      <c r="A17" s="5" t="s">
        <v>739</v>
      </c>
      <c r="B17" s="21" t="n">
        <f aca="false">Inputs!$C$88/Inputs!$C$95-1</f>
        <v>-0.492307692307692</v>
      </c>
      <c r="C17" s="27"/>
      <c r="D17" s="27"/>
      <c r="E17" s="5"/>
      <c r="F17" s="5"/>
    </row>
    <row r="18" customFormat="false" ht="15" hidden="false" customHeight="false" outlineLevel="0" collapsed="false">
      <c r="A18" s="5" t="s">
        <v>740</v>
      </c>
      <c r="B18" s="21" t="n">
        <f aca="false">B5/Inputs!$C$198-1</f>
        <v>-0.400116571428571</v>
      </c>
      <c r="C18" s="27"/>
      <c r="D18" s="27"/>
      <c r="E18" s="5"/>
      <c r="F18" s="5"/>
    </row>
    <row r="19" customFormat="false" ht="15" hidden="false" customHeight="false" outlineLevel="0" collapsed="false">
      <c r="A19" s="5" t="s">
        <v>741</v>
      </c>
      <c r="B19" s="21" t="n">
        <f aca="false">B5/Inputs!$C$99-1</f>
        <v>-0.798116153846154</v>
      </c>
      <c r="C19" s="27"/>
      <c r="D19" s="27"/>
      <c r="E19" s="5"/>
      <c r="F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</row>
    <row r="21" customFormat="false" ht="15" hidden="false" customHeight="false" outlineLevel="0" collapsed="false">
      <c r="A21" s="6" t="s">
        <v>742</v>
      </c>
      <c r="B21" s="6" t="s">
        <v>743</v>
      </c>
      <c r="C21" s="6" t="s">
        <v>667</v>
      </c>
      <c r="D21" s="6"/>
      <c r="E21" s="6"/>
      <c r="F21" s="6" t="s">
        <v>28</v>
      </c>
    </row>
    <row r="22" customFormat="false" ht="15" hidden="false" customHeight="false" outlineLevel="0" collapsed="false">
      <c r="A22" s="5" t="s">
        <v>744</v>
      </c>
      <c r="B22" s="25" t="n">
        <f aca="false">'Peer Benchmark'!M4</f>
        <v>1.61420021528525</v>
      </c>
      <c r="C22" s="25" t="n">
        <f aca="false">'Peer Benchmark'!M6</f>
        <v>3.01534988330151</v>
      </c>
      <c r="D22" s="5"/>
      <c r="E22" s="5"/>
      <c r="F22" s="5"/>
    </row>
    <row r="23" customFormat="false" ht="15" hidden="false" customHeight="false" outlineLevel="0" collapsed="false">
      <c r="A23" s="5" t="s">
        <v>745</v>
      </c>
      <c r="B23" s="25" t="n">
        <f aca="false">B13</f>
        <v>4.26020454545455</v>
      </c>
      <c r="C23" s="25" t="n">
        <f aca="false">'Peer Benchmark'!F19</f>
        <v>7.25366104908661</v>
      </c>
      <c r="D23" s="5"/>
      <c r="E23" s="5"/>
      <c r="F23" s="5"/>
    </row>
    <row r="24" customFormat="false" ht="15" hidden="false" customHeight="false" outlineLevel="0" collapsed="false">
      <c r="A24" s="5" t="s">
        <v>746</v>
      </c>
      <c r="B24" s="21" t="n">
        <f aca="false">'Peer Benchmark'!P4</f>
        <v>0.140515222482436</v>
      </c>
      <c r="C24" s="21" t="n">
        <f aca="false">'Peer Benchmark'!P6</f>
        <v>0.12</v>
      </c>
      <c r="D24" s="5"/>
      <c r="E24" s="5"/>
      <c r="F24" s="5"/>
    </row>
    <row r="25" customFormat="false" ht="15" hidden="false" customHeight="false" outlineLevel="0" collapsed="false">
      <c r="A25" s="5" t="s">
        <v>747</v>
      </c>
      <c r="B25" s="30" t="n">
        <f aca="false">B22/(B24*100)</f>
        <v>0.114877248654467</v>
      </c>
      <c r="C25" s="30" t="n">
        <f aca="false">C22/(C24*100)</f>
        <v>0.251279156941792</v>
      </c>
      <c r="D25" s="5"/>
      <c r="E25" s="5"/>
      <c r="F25" s="5"/>
    </row>
    <row r="26" customFormat="false" ht="15" hidden="false" customHeight="false" outlineLevel="0" collapsed="false">
      <c r="A26" s="5" t="s">
        <v>748</v>
      </c>
      <c r="B26" s="30" t="n">
        <f aca="false">B23/(B24*100)</f>
        <v>0.303184556818182</v>
      </c>
      <c r="C26" s="30" t="n">
        <f aca="false">C23/(C24*100)</f>
        <v>0.604471754090551</v>
      </c>
      <c r="D26" s="5"/>
      <c r="E26" s="5"/>
      <c r="F26" s="5"/>
    </row>
    <row r="27" customFormat="false" ht="15" hidden="false" customHeight="false" outlineLevel="0" collapsed="false">
      <c r="A27" s="5" t="s">
        <v>749</v>
      </c>
      <c r="B27" s="21" t="n">
        <f aca="false">B23/C23-1</f>
        <v>-0.412682159171058</v>
      </c>
      <c r="C27" s="21"/>
      <c r="D27" s="5"/>
      <c r="E27" s="5"/>
      <c r="F27" s="5"/>
    </row>
    <row r="28" customFormat="false" ht="15" hidden="false" customHeight="false" outlineLevel="0" collapsed="false">
      <c r="A28" s="5" t="s">
        <v>750</v>
      </c>
      <c r="B28" s="21" t="n">
        <f aca="false">B14/C23-1</f>
        <v>-0.177691105272821</v>
      </c>
      <c r="C28" s="21"/>
      <c r="D28" s="5"/>
      <c r="E28" s="5"/>
      <c r="F28" s="5"/>
    </row>
    <row r="29" customFormat="false" ht="15" hidden="false" customHeight="false" outlineLevel="0" collapsed="false">
      <c r="A29" s="5" t="s">
        <v>751</v>
      </c>
      <c r="B29" s="25" t="n">
        <f aca="false">B15</f>
        <v>8.05058282208589</v>
      </c>
      <c r="C29" s="25" t="n">
        <f aca="false">'Peer Benchmark'!F18</f>
        <v>11.8654105936722</v>
      </c>
      <c r="D29" s="5"/>
      <c r="E29" s="5"/>
      <c r="F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</row>
    <row r="31" customFormat="false" ht="22.35" hidden="false" customHeight="false" outlineLevel="0" collapsed="false">
      <c r="A31" s="6" t="s">
        <v>484</v>
      </c>
      <c r="B31" s="6" t="s">
        <v>752</v>
      </c>
      <c r="C31" s="6" t="s">
        <v>753</v>
      </c>
      <c r="D31" s="6" t="s">
        <v>754</v>
      </c>
      <c r="E31" s="6" t="s">
        <v>755</v>
      </c>
      <c r="F31" s="6" t="s">
        <v>28</v>
      </c>
    </row>
    <row r="32" customFormat="false" ht="15" hidden="false" customHeight="false" outlineLevel="0" collapsed="false">
      <c r="A32" s="5" t="s">
        <v>756</v>
      </c>
      <c r="B32" s="27" t="n">
        <f aca="false">Inputs!$C$174*Inputs!$C$110</f>
        <v>211.92</v>
      </c>
      <c r="C32" s="27" t="n">
        <f aca="false">Inputs!$C$179/Inputs!$C$180*Inputs!$C$111</f>
        <v>1846.33333333333</v>
      </c>
      <c r="D32" s="27" t="n">
        <f aca="false">Inputs!$C$102</f>
        <v>231</v>
      </c>
      <c r="E32" s="27" t="n">
        <f aca="false">B7</f>
        <v>1499.592</v>
      </c>
      <c r="F32" s="5"/>
    </row>
    <row r="33" customFormat="false" ht="15" hidden="false" customHeight="false" outlineLevel="0" collapsed="false">
      <c r="A33" s="5" t="s">
        <v>757</v>
      </c>
      <c r="B33" s="25" t="n">
        <f aca="false">Inputs!$C$174/Inputs!$C$175</f>
        <v>5.81818181818182</v>
      </c>
      <c r="C33" s="25" t="s">
        <v>265</v>
      </c>
      <c r="D33" s="25" t="n">
        <f aca="false">Inputs!$C$102/Inputs!$C$103</f>
        <v>2.8875</v>
      </c>
      <c r="E33" s="25" t="n">
        <f aca="false">B10</f>
        <v>1.61420021528525</v>
      </c>
      <c r="F33" s="5"/>
    </row>
    <row r="34" customFormat="false" ht="15" hidden="false" customHeight="false" outlineLevel="0" collapsed="false">
      <c r="A34" s="5" t="s">
        <v>758</v>
      </c>
      <c r="B34" s="25" t="s">
        <v>759</v>
      </c>
      <c r="C34" s="25" t="n">
        <f aca="false">Inputs!$C$179/Inputs!$C$180/Inputs!$C$181</f>
        <v>13.4259259259259</v>
      </c>
      <c r="D34" s="25" t="s">
        <v>265</v>
      </c>
      <c r="E34" s="25" t="n">
        <f aca="false">B15</f>
        <v>8.05058282208589</v>
      </c>
      <c r="F34" s="5"/>
    </row>
    <row r="35" customFormat="false" ht="15" hidden="false" customHeight="false" outlineLevel="0" collapsed="false">
      <c r="A35" s="5" t="s">
        <v>760</v>
      </c>
      <c r="B35" s="27" t="n">
        <f aca="false">B32/Inputs!$C$176</f>
        <v>294.333333333333</v>
      </c>
      <c r="C35" s="27" t="n">
        <f aca="false">C32/Inputs!$C$182</f>
        <v>1230.88888888889</v>
      </c>
      <c r="D35" s="27" t="s">
        <v>265</v>
      </c>
      <c r="E35" s="27" t="n">
        <f aca="false">B16</f>
        <v>350.371962616822</v>
      </c>
      <c r="F35" s="5"/>
    </row>
    <row r="36" customFormat="false" ht="15" hidden="false" customHeight="false" outlineLevel="0" collapsed="false">
      <c r="A36" s="5" t="s">
        <v>761</v>
      </c>
      <c r="B36" s="32" t="n">
        <f aca="false">Inputs!$C$174/Inputs!$C$177</f>
        <v>0.064</v>
      </c>
      <c r="C36" s="32" t="n">
        <f aca="false">C32/(Inputs!$C$183*Inputs!$C$111*1000)</f>
        <v>0.0121136173767753</v>
      </c>
      <c r="D36" s="32" t="s">
        <v>265</v>
      </c>
      <c r="E36" s="32" t="n">
        <f aca="false">B7/('Historical Build &amp; Ratios'!K8*1000)</f>
        <v>0.07810375</v>
      </c>
      <c r="F36" s="5" t="s">
        <v>762</v>
      </c>
    </row>
    <row r="37" customFormat="false" ht="15" hidden="false" customHeight="false" outlineLevel="0" collapsed="false">
      <c r="A37" s="5" t="s">
        <v>763</v>
      </c>
      <c r="B37" s="27" t="n">
        <f aca="false">B35*'Historical Build &amp; Ratios'!K7</f>
        <v>1259.74666666667</v>
      </c>
      <c r="C37" s="27"/>
      <c r="D37" s="27"/>
      <c r="E37" s="27"/>
      <c r="F37" s="5"/>
    </row>
    <row r="38" customFormat="false" ht="15" hidden="false" customHeight="false" outlineLevel="0" collapsed="false">
      <c r="A38" s="5" t="s">
        <v>764</v>
      </c>
      <c r="B38" s="27" t="n">
        <f aca="false">C34*'Historical Build &amp; Ratios'!E24</f>
        <v>3501.48148148148</v>
      </c>
      <c r="C38" s="27"/>
      <c r="D38" s="27"/>
      <c r="E38" s="27"/>
      <c r="F38" s="5"/>
    </row>
    <row r="39" customFormat="false" ht="15" hidden="false" customHeight="false" outlineLevel="0" collapsed="false">
      <c r="A39" s="5" t="s">
        <v>765</v>
      </c>
      <c r="B39" s="27" t="n">
        <f aca="false">Inputs!$C$104*Inputs!$C$88</f>
        <v>66</v>
      </c>
      <c r="C39" s="27"/>
      <c r="D39" s="27"/>
      <c r="E39" s="27"/>
      <c r="F39" s="5"/>
    </row>
    <row r="40" customFormat="false" ht="15" hidden="false" customHeight="false" outlineLevel="0" collapsed="false">
      <c r="A40" s="5" t="s">
        <v>766</v>
      </c>
      <c r="B40" s="25" t="n">
        <f aca="false">D33/B10</f>
        <v>1.78881155674343</v>
      </c>
      <c r="C40" s="25"/>
      <c r="D40" s="25"/>
      <c r="E40" s="25"/>
      <c r="F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</row>
    <row r="42" customFormat="false" ht="15" hidden="false" customHeight="false" outlineLevel="0" collapsed="false">
      <c r="A42" s="6" t="s">
        <v>767</v>
      </c>
      <c r="B42" s="6" t="s">
        <v>768</v>
      </c>
      <c r="C42" s="6" t="s">
        <v>769</v>
      </c>
      <c r="D42" s="6" t="s">
        <v>770</v>
      </c>
      <c r="E42" s="6"/>
      <c r="F42" s="6" t="s">
        <v>28</v>
      </c>
    </row>
    <row r="43" customFormat="false" ht="15" hidden="false" customHeight="false" outlineLevel="0" collapsed="false">
      <c r="A43" s="5" t="s">
        <v>771</v>
      </c>
      <c r="B43" s="28" t="n">
        <f aca="false">'Historical Build &amp; Ratios'!E22</f>
        <v>929</v>
      </c>
      <c r="C43" s="28" t="n">
        <f aca="false">'Historical Build &amp; Ratios'!E22</f>
        <v>929</v>
      </c>
      <c r="D43" s="28" t="n">
        <f aca="false">'Historical Build &amp; Ratios'!E22</f>
        <v>929</v>
      </c>
      <c r="E43" s="5"/>
      <c r="F43" s="5"/>
    </row>
    <row r="44" customFormat="false" ht="15" hidden="false" customHeight="false" outlineLevel="0" collapsed="false">
      <c r="A44" s="5" t="s">
        <v>772</v>
      </c>
      <c r="B44" s="33" t="n">
        <v>-0.1</v>
      </c>
      <c r="C44" s="33" t="n">
        <v>0.08</v>
      </c>
      <c r="D44" s="33" t="n">
        <v>0.15</v>
      </c>
      <c r="E44" s="5"/>
      <c r="F44" s="5" t="s">
        <v>773</v>
      </c>
    </row>
    <row r="45" customFormat="false" ht="15" hidden="false" customHeight="false" outlineLevel="0" collapsed="false">
      <c r="A45" s="5" t="s">
        <v>580</v>
      </c>
      <c r="B45" s="33" t="n">
        <v>0.28</v>
      </c>
      <c r="C45" s="33" t="n">
        <v>0.34</v>
      </c>
      <c r="D45" s="33" t="n">
        <v>0.37</v>
      </c>
      <c r="E45" s="5"/>
      <c r="F45" s="5" t="s">
        <v>774</v>
      </c>
    </row>
    <row r="46" customFormat="false" ht="15" hidden="false" customHeight="false" outlineLevel="0" collapsed="false">
      <c r="A46" s="5" t="s">
        <v>775</v>
      </c>
      <c r="B46" s="34" t="n">
        <v>4</v>
      </c>
      <c r="C46" s="34" t="n">
        <v>6</v>
      </c>
      <c r="D46" s="34" t="n">
        <v>8</v>
      </c>
      <c r="E46" s="5"/>
      <c r="F46" s="5" t="s">
        <v>776</v>
      </c>
    </row>
    <row r="47" customFormat="false" ht="15" hidden="false" customHeight="false" outlineLevel="0" collapsed="false">
      <c r="A47" s="5" t="s">
        <v>777</v>
      </c>
      <c r="B47" s="33" t="n">
        <v>0.5</v>
      </c>
      <c r="C47" s="33" t="n">
        <v>0.75</v>
      </c>
      <c r="D47" s="33" t="n">
        <v>1</v>
      </c>
      <c r="E47" s="5"/>
      <c r="F47" s="5" t="s">
        <v>778</v>
      </c>
    </row>
    <row r="48" customFormat="false" ht="15" hidden="false" customHeight="false" outlineLevel="0" collapsed="false">
      <c r="A48" s="5" t="s">
        <v>724</v>
      </c>
      <c r="B48" s="16" t="n">
        <f aca="false">Inputs!$C$89</f>
        <v>79.53</v>
      </c>
      <c r="C48" s="16" t="n">
        <f aca="false">Inputs!$C$89</f>
        <v>79.53</v>
      </c>
      <c r="D48" s="16" t="n">
        <f aca="false">Inputs!$C$89</f>
        <v>79.53</v>
      </c>
      <c r="E48" s="5"/>
      <c r="F48" s="5"/>
    </row>
    <row r="49" customFormat="false" ht="15" hidden="false" customHeight="false" outlineLevel="0" collapsed="false">
      <c r="A49" s="5" t="s">
        <v>779</v>
      </c>
      <c r="B49" s="27" t="n">
        <f aca="false">B43*(1+B44)</f>
        <v>836.1</v>
      </c>
      <c r="C49" s="27" t="n">
        <f aca="false">C43*(1+C44)</f>
        <v>1003.32</v>
      </c>
      <c r="D49" s="27" t="n">
        <f aca="false">D43*(1+D44)</f>
        <v>1068.35</v>
      </c>
      <c r="E49" s="5"/>
      <c r="F49" s="5"/>
    </row>
    <row r="50" customFormat="false" ht="15" hidden="false" customHeight="false" outlineLevel="0" collapsed="false">
      <c r="A50" s="5" t="s">
        <v>780</v>
      </c>
      <c r="B50" s="27" t="n">
        <f aca="false">B49*B45</f>
        <v>234.108</v>
      </c>
      <c r="C50" s="27" t="n">
        <f aca="false">C49*C45</f>
        <v>341.1288</v>
      </c>
      <c r="D50" s="27" t="n">
        <f aca="false">D49*D45</f>
        <v>395.2895</v>
      </c>
      <c r="E50" s="5"/>
      <c r="F50" s="5"/>
    </row>
    <row r="51" customFormat="false" ht="15" hidden="false" customHeight="false" outlineLevel="0" collapsed="false">
      <c r="A51" s="5" t="s">
        <v>781</v>
      </c>
      <c r="B51" s="27" t="n">
        <f aca="false">B50*B46</f>
        <v>936.432</v>
      </c>
      <c r="C51" s="27" t="n">
        <f aca="false">C50*C46</f>
        <v>2046.7728</v>
      </c>
      <c r="D51" s="27" t="n">
        <f aca="false">D50*D46</f>
        <v>3162.316</v>
      </c>
      <c r="E51" s="5"/>
      <c r="F51" s="5" t="s">
        <v>782</v>
      </c>
    </row>
    <row r="52" customFormat="false" ht="15" hidden="false" customHeight="false" outlineLevel="0" collapsed="false">
      <c r="A52" s="5" t="s">
        <v>783</v>
      </c>
      <c r="B52" s="27" t="n">
        <f aca="false">B51+Inputs!$C$93*B47-Inputs!$C$94</f>
        <v>1536.432</v>
      </c>
      <c r="C52" s="27" t="n">
        <f aca="false">C51+Inputs!$C$93*C47-Inputs!$C$94</f>
        <v>2946.7728</v>
      </c>
      <c r="D52" s="27" t="n">
        <f aca="false">D51+Inputs!$C$93*D47-Inputs!$C$94</f>
        <v>4362.316</v>
      </c>
      <c r="E52" s="5"/>
      <c r="F52" s="5"/>
    </row>
    <row r="53" customFormat="false" ht="15" hidden="false" customHeight="false" outlineLevel="0" collapsed="false">
      <c r="A53" s="5" t="s">
        <v>784</v>
      </c>
      <c r="B53" s="35" t="n">
        <f aca="false">B52/B48</f>
        <v>19.318898528857</v>
      </c>
      <c r="C53" s="35" t="n">
        <f aca="false">C52/C48</f>
        <v>37.0523425122595</v>
      </c>
      <c r="D53" s="35" t="n">
        <f aca="false">D52/D48</f>
        <v>54.8512008047278</v>
      </c>
      <c r="E53" s="5"/>
      <c r="F53" s="5"/>
    </row>
    <row r="54" customFormat="false" ht="15" hidden="false" customHeight="false" outlineLevel="0" collapsed="false">
      <c r="A54" s="5" t="s">
        <v>785</v>
      </c>
      <c r="B54" s="21" t="n">
        <f aca="false">B53/Inputs!$C$88-1</f>
        <v>-0.268223540573597</v>
      </c>
      <c r="C54" s="21" t="n">
        <f aca="false">C53/Inputs!$C$88-1</f>
        <v>0.403497822434073</v>
      </c>
      <c r="D54" s="21" t="n">
        <f aca="false">D53/Inputs!$C$88-1</f>
        <v>1.07769700017908</v>
      </c>
      <c r="E54" s="5"/>
      <c r="F54" s="5"/>
    </row>
    <row r="55" customFormat="false" ht="15" hidden="false" customHeight="false" outlineLevel="0" collapsed="false">
      <c r="A55" s="5" t="s">
        <v>786</v>
      </c>
      <c r="B55" s="33" t="n">
        <v>0.25</v>
      </c>
      <c r="C55" s="33" t="n">
        <v>0.5</v>
      </c>
      <c r="D55" s="33" t="n">
        <v>0.25</v>
      </c>
      <c r="E55" s="5"/>
      <c r="F55" s="5"/>
    </row>
    <row r="56" customFormat="false" ht="15" hidden="false" customHeight="false" outlineLevel="0" collapsed="false">
      <c r="A56" s="5" t="s">
        <v>787</v>
      </c>
      <c r="B56" s="5"/>
      <c r="C56" s="35" t="n">
        <f aca="false">SUMPRODUCT(B53:D53,B55:D55)</f>
        <v>37.068696089526</v>
      </c>
      <c r="D56" s="5"/>
      <c r="E56" s="5"/>
      <c r="F56" s="5"/>
    </row>
    <row r="57" customFormat="false" ht="15" hidden="false" customHeight="false" outlineLevel="0" collapsed="false">
      <c r="A57" s="5" t="s">
        <v>788</v>
      </c>
      <c r="B57" s="5"/>
      <c r="C57" s="21" t="n">
        <f aca="false">C56/Inputs!$C$88-1</f>
        <v>0.404117276118408</v>
      </c>
      <c r="D57" s="5"/>
      <c r="E57" s="5"/>
      <c r="F57" s="5"/>
    </row>
    <row r="58" customFormat="false" ht="15" hidden="false" customHeight="false" outlineLevel="0" collapsed="false">
      <c r="A58" s="5"/>
      <c r="B58" s="5"/>
      <c r="C58" s="5" t="str">
        <f aca="false">IF(SUM(B55:D55)=1,"weights OK","CHECK WEIGHTS")</f>
        <v>weights OK</v>
      </c>
      <c r="D58" s="5"/>
      <c r="E58" s="5"/>
      <c r="F5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90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6" t="s">
        <v>310</v>
      </c>
      <c r="B1" s="6" t="s">
        <v>789</v>
      </c>
      <c r="C1" s="6" t="s">
        <v>790</v>
      </c>
      <c r="D1" s="6" t="s">
        <v>791</v>
      </c>
      <c r="E1" s="6" t="s">
        <v>792</v>
      </c>
      <c r="F1" s="6" t="s">
        <v>793</v>
      </c>
    </row>
    <row r="2" customFormat="false" ht="22.35" hidden="false" customHeight="false" outlineLevel="0" collapsed="false">
      <c r="A2" s="2" t="n">
        <v>1</v>
      </c>
      <c r="B2" s="2" t="s">
        <v>794</v>
      </c>
      <c r="C2" s="2" t="s">
        <v>795</v>
      </c>
      <c r="D2" s="2" t="s">
        <v>796</v>
      </c>
      <c r="E2" s="2" t="s">
        <v>797</v>
      </c>
      <c r="F2" s="2" t="s">
        <v>798</v>
      </c>
    </row>
    <row r="3" customFormat="false" ht="22.35" hidden="false" customHeight="false" outlineLevel="0" collapsed="false">
      <c r="A3" s="2" t="n">
        <v>2</v>
      </c>
      <c r="B3" s="2" t="s">
        <v>799</v>
      </c>
      <c r="C3" s="2" t="s">
        <v>795</v>
      </c>
      <c r="D3" s="2" t="s">
        <v>800</v>
      </c>
      <c r="E3" s="2" t="s">
        <v>801</v>
      </c>
      <c r="F3" s="2" t="s">
        <v>802</v>
      </c>
    </row>
    <row r="4" customFormat="false" ht="22.35" hidden="false" customHeight="false" outlineLevel="0" collapsed="false">
      <c r="A4" s="2" t="n">
        <v>3</v>
      </c>
      <c r="B4" s="2" t="s">
        <v>803</v>
      </c>
      <c r="C4" s="2" t="s">
        <v>804</v>
      </c>
      <c r="D4" s="2" t="s">
        <v>805</v>
      </c>
      <c r="E4" s="2" t="s">
        <v>806</v>
      </c>
      <c r="F4" s="2" t="s">
        <v>807</v>
      </c>
    </row>
    <row r="5" customFormat="false" ht="22.35" hidden="false" customHeight="false" outlineLevel="0" collapsed="false">
      <c r="A5" s="2" t="n">
        <v>4</v>
      </c>
      <c r="B5" s="2" t="s">
        <v>808</v>
      </c>
      <c r="C5" s="2" t="s">
        <v>804</v>
      </c>
      <c r="D5" s="2" t="s">
        <v>809</v>
      </c>
      <c r="E5" s="2" t="s">
        <v>810</v>
      </c>
      <c r="F5" s="2" t="s">
        <v>811</v>
      </c>
    </row>
    <row r="6" customFormat="false" ht="15" hidden="false" customHeight="false" outlineLevel="0" collapsed="false">
      <c r="A6" s="2" t="n">
        <v>5</v>
      </c>
      <c r="B6" s="2" t="s">
        <v>812</v>
      </c>
      <c r="C6" s="2" t="s">
        <v>813</v>
      </c>
      <c r="D6" s="2" t="s">
        <v>814</v>
      </c>
      <c r="E6" s="2" t="s">
        <v>815</v>
      </c>
      <c r="F6" s="2" t="s">
        <v>816</v>
      </c>
    </row>
    <row r="7" customFormat="false" ht="15" hidden="false" customHeight="false" outlineLevel="0" collapsed="false">
      <c r="A7" s="2" t="n">
        <v>6</v>
      </c>
      <c r="B7" s="2" t="s">
        <v>817</v>
      </c>
      <c r="C7" s="2" t="s">
        <v>804</v>
      </c>
      <c r="D7" s="2" t="s">
        <v>818</v>
      </c>
      <c r="E7" s="2" t="s">
        <v>819</v>
      </c>
      <c r="F7" s="2" t="s">
        <v>820</v>
      </c>
    </row>
    <row r="8" customFormat="false" ht="15" hidden="false" customHeight="false" outlineLevel="0" collapsed="false">
      <c r="A8" s="2" t="n">
        <v>7</v>
      </c>
      <c r="B8" s="2" t="s">
        <v>821</v>
      </c>
      <c r="C8" s="2" t="s">
        <v>804</v>
      </c>
      <c r="D8" s="2" t="s">
        <v>822</v>
      </c>
      <c r="E8" s="2" t="s">
        <v>823</v>
      </c>
      <c r="F8" s="2" t="s">
        <v>824</v>
      </c>
    </row>
    <row r="9" customFormat="false" ht="22.35" hidden="false" customHeight="false" outlineLevel="0" collapsed="false">
      <c r="A9" s="2" t="n">
        <v>8</v>
      </c>
      <c r="B9" s="2" t="s">
        <v>825</v>
      </c>
      <c r="C9" s="2" t="s">
        <v>804</v>
      </c>
      <c r="D9" s="2" t="s">
        <v>826</v>
      </c>
      <c r="E9" s="2" t="s">
        <v>827</v>
      </c>
      <c r="F9" s="2" t="s">
        <v>828</v>
      </c>
    </row>
    <row r="10" customFormat="false" ht="15" hidden="false" customHeight="false" outlineLevel="0" collapsed="false">
      <c r="A10" s="2" t="n">
        <v>9</v>
      </c>
      <c r="B10" s="2" t="s">
        <v>829</v>
      </c>
      <c r="C10" s="2" t="s">
        <v>813</v>
      </c>
      <c r="D10" s="2" t="s">
        <v>830</v>
      </c>
      <c r="E10" s="2" t="s">
        <v>831</v>
      </c>
      <c r="F10" s="2" t="s">
        <v>832</v>
      </c>
    </row>
    <row r="11" customFormat="false" ht="22.35" hidden="false" customHeight="false" outlineLevel="0" collapsed="false">
      <c r="A11" s="2" t="n">
        <v>10</v>
      </c>
      <c r="B11" s="2" t="s">
        <v>833</v>
      </c>
      <c r="C11" s="2" t="s">
        <v>804</v>
      </c>
      <c r="D11" s="2" t="s">
        <v>834</v>
      </c>
      <c r="E11" s="2" t="s">
        <v>835</v>
      </c>
      <c r="F11" s="2" t="s">
        <v>836</v>
      </c>
    </row>
    <row r="12" customFormat="false" ht="15" hidden="false" customHeight="false" outlineLevel="0" collapsed="false">
      <c r="A12" s="2" t="n">
        <v>11</v>
      </c>
      <c r="B12" s="2" t="s">
        <v>837</v>
      </c>
      <c r="C12" s="2" t="s">
        <v>813</v>
      </c>
      <c r="D12" s="2" t="s">
        <v>838</v>
      </c>
      <c r="E12" s="2" t="s">
        <v>839</v>
      </c>
      <c r="F12" s="2" t="s">
        <v>840</v>
      </c>
    </row>
    <row r="13" customFormat="false" ht="22.35" hidden="false" customHeight="false" outlineLevel="0" collapsed="false">
      <c r="A13" s="2" t="n">
        <v>12</v>
      </c>
      <c r="B13" s="2" t="s">
        <v>841</v>
      </c>
      <c r="C13" s="2" t="s">
        <v>804</v>
      </c>
      <c r="D13" s="2" t="s">
        <v>842</v>
      </c>
      <c r="E13" s="2" t="s">
        <v>843</v>
      </c>
      <c r="F13" s="2" t="s">
        <v>844</v>
      </c>
    </row>
    <row r="14" customFormat="false" ht="22.35" hidden="false" customHeight="false" outlineLevel="0" collapsed="false">
      <c r="A14" s="2" t="n">
        <v>13</v>
      </c>
      <c r="B14" s="2" t="s">
        <v>845</v>
      </c>
      <c r="C14" s="2" t="s">
        <v>804</v>
      </c>
      <c r="D14" s="2" t="s">
        <v>846</v>
      </c>
      <c r="E14" s="2" t="s">
        <v>847</v>
      </c>
      <c r="F14" s="2" t="s">
        <v>848</v>
      </c>
    </row>
    <row r="15" customFormat="false" ht="22.35" hidden="false" customHeight="false" outlineLevel="0" collapsed="false">
      <c r="A15" s="2" t="n">
        <v>14</v>
      </c>
      <c r="B15" s="2" t="s">
        <v>849</v>
      </c>
      <c r="C15" s="2" t="s">
        <v>813</v>
      </c>
      <c r="D15" s="2" t="s">
        <v>850</v>
      </c>
      <c r="E15" s="2" t="s">
        <v>851</v>
      </c>
      <c r="F15" s="2" t="s">
        <v>852</v>
      </c>
    </row>
    <row r="16" customFormat="false" ht="32.8" hidden="false" customHeight="false" outlineLevel="0" collapsed="false">
      <c r="A16" s="2" t="n">
        <v>15</v>
      </c>
      <c r="B16" s="2" t="s">
        <v>853</v>
      </c>
      <c r="C16" s="2" t="s">
        <v>804</v>
      </c>
      <c r="D16" s="2" t="s">
        <v>854</v>
      </c>
      <c r="E16" s="2" t="s">
        <v>855</v>
      </c>
      <c r="F16" s="2" t="s">
        <v>856</v>
      </c>
    </row>
    <row r="17" customFormat="false" ht="15" hidden="false" customHeight="false" outlineLevel="0" collapsed="false">
      <c r="A17" s="2" t="n">
        <v>16</v>
      </c>
      <c r="B17" s="2" t="s">
        <v>857</v>
      </c>
      <c r="C17" s="2" t="s">
        <v>804</v>
      </c>
      <c r="D17" s="2" t="s">
        <v>858</v>
      </c>
      <c r="E17" s="2" t="s">
        <v>859</v>
      </c>
      <c r="F17" s="2" t="s">
        <v>860</v>
      </c>
    </row>
    <row r="18" customFormat="false" ht="22.35" hidden="false" customHeight="false" outlineLevel="0" collapsed="false">
      <c r="A18" s="2" t="n">
        <v>17</v>
      </c>
      <c r="B18" s="2" t="s">
        <v>857</v>
      </c>
      <c r="C18" s="2" t="s">
        <v>804</v>
      </c>
      <c r="D18" s="2" t="s">
        <v>861</v>
      </c>
      <c r="E18" s="2" t="s">
        <v>862</v>
      </c>
      <c r="F18" s="2" t="s">
        <v>863</v>
      </c>
    </row>
    <row r="19" customFormat="false" ht="22.35" hidden="false" customHeight="false" outlineLevel="0" collapsed="false">
      <c r="A19" s="2" t="n">
        <v>18</v>
      </c>
      <c r="B19" s="2" t="s">
        <v>864</v>
      </c>
      <c r="C19" s="2" t="s">
        <v>813</v>
      </c>
      <c r="D19" s="2" t="s">
        <v>865</v>
      </c>
      <c r="E19" s="2" t="s">
        <v>866</v>
      </c>
      <c r="F19" s="2" t="s">
        <v>867</v>
      </c>
    </row>
    <row r="20" customFormat="false" ht="22.35" hidden="false" customHeight="false" outlineLevel="0" collapsed="false">
      <c r="A20" s="2" t="n">
        <v>19</v>
      </c>
      <c r="B20" s="2" t="s">
        <v>868</v>
      </c>
      <c r="C20" s="2" t="s">
        <v>813</v>
      </c>
      <c r="D20" s="2" t="s">
        <v>869</v>
      </c>
      <c r="E20" s="2" t="s">
        <v>870</v>
      </c>
      <c r="F20" s="2" t="s">
        <v>871</v>
      </c>
    </row>
    <row r="21" customFormat="false" ht="22.35" hidden="false" customHeight="false" outlineLevel="0" collapsed="false">
      <c r="A21" s="2" t="n">
        <v>20</v>
      </c>
      <c r="B21" s="2" t="s">
        <v>872</v>
      </c>
      <c r="C21" s="2" t="s">
        <v>813</v>
      </c>
      <c r="D21" s="2" t="s">
        <v>869</v>
      </c>
      <c r="E21" s="2" t="s">
        <v>873</v>
      </c>
      <c r="F21" s="2" t="s">
        <v>874</v>
      </c>
    </row>
    <row r="22" customFormat="false" ht="22.35" hidden="false" customHeight="false" outlineLevel="0" collapsed="false">
      <c r="A22" s="2" t="n">
        <v>21</v>
      </c>
      <c r="B22" s="2" t="s">
        <v>875</v>
      </c>
      <c r="C22" s="2" t="s">
        <v>804</v>
      </c>
      <c r="D22" s="2" t="s">
        <v>876</v>
      </c>
      <c r="E22" s="2" t="s">
        <v>877</v>
      </c>
      <c r="F22" s="2" t="s">
        <v>878</v>
      </c>
    </row>
    <row r="23" customFormat="false" ht="22.35" hidden="false" customHeight="false" outlineLevel="0" collapsed="false">
      <c r="A23" s="2" t="n">
        <v>22</v>
      </c>
      <c r="B23" s="2" t="s">
        <v>879</v>
      </c>
      <c r="C23" s="2" t="s">
        <v>813</v>
      </c>
      <c r="D23" s="2" t="s">
        <v>880</v>
      </c>
      <c r="E23" s="2" t="s">
        <v>881</v>
      </c>
      <c r="F23" s="2" t="s">
        <v>882</v>
      </c>
    </row>
    <row r="24" customFormat="false" ht="15" hidden="false" customHeight="false" outlineLevel="0" collapsed="false">
      <c r="A24" s="2" t="n">
        <v>23</v>
      </c>
      <c r="B24" s="2" t="s">
        <v>883</v>
      </c>
      <c r="C24" s="2" t="s">
        <v>813</v>
      </c>
      <c r="D24" s="2" t="s">
        <v>884</v>
      </c>
      <c r="E24" s="2" t="s">
        <v>885</v>
      </c>
      <c r="F24" s="2" t="s">
        <v>886</v>
      </c>
    </row>
    <row r="25" customFormat="false" ht="15" hidden="false" customHeight="false" outlineLevel="0" collapsed="false">
      <c r="A25" s="2" t="n">
        <v>24</v>
      </c>
      <c r="B25" s="2" t="s">
        <v>887</v>
      </c>
      <c r="C25" s="2" t="s">
        <v>813</v>
      </c>
      <c r="D25" s="2" t="s">
        <v>884</v>
      </c>
      <c r="E25" s="2" t="s">
        <v>888</v>
      </c>
      <c r="F25" s="2" t="s">
        <v>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5" min="4" style="0" width="11"/>
    <col collapsed="false" customWidth="true" hidden="false" outlineLevel="0" max="6" min="6" style="0" width="36"/>
    <col collapsed="false" customWidth="true" hidden="false" outlineLevel="0" max="7" min="7" style="0" width="10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4" t="s">
        <v>890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310</v>
      </c>
      <c r="B3" s="6" t="s">
        <v>891</v>
      </c>
      <c r="C3" s="6" t="s">
        <v>22</v>
      </c>
      <c r="D3" s="6" t="s">
        <v>23</v>
      </c>
      <c r="E3" s="6" t="s">
        <v>892</v>
      </c>
      <c r="F3" s="6" t="s">
        <v>893</v>
      </c>
      <c r="G3" s="6" t="s">
        <v>894</v>
      </c>
      <c r="H3" s="6" t="s">
        <v>895</v>
      </c>
    </row>
    <row r="4" customFormat="false" ht="22.35" hidden="false" customHeight="false" outlineLevel="0" collapsed="false">
      <c r="A4" s="2" t="n">
        <v>1</v>
      </c>
      <c r="B4" s="2" t="s">
        <v>896</v>
      </c>
      <c r="C4" s="2" t="s">
        <v>897</v>
      </c>
      <c r="D4" s="36" t="n">
        <f aca="false">'Historical Build &amp; Ratios'!D35</f>
        <v>1</v>
      </c>
      <c r="E4" s="37" t="n">
        <f aca="false">'Historical Build &amp; Ratios'!C35</f>
        <v>10</v>
      </c>
      <c r="F4" s="2" t="s">
        <v>898</v>
      </c>
      <c r="G4" s="2" t="str">
        <f aca="false">IF(D4&lt;0.75,"FAIL",IF(E4&gt;=12,"PASS","CAUTION"))</f>
        <v>CAUTION</v>
      </c>
      <c r="H4" s="2" t="s">
        <v>899</v>
      </c>
    </row>
    <row r="5" customFormat="false" ht="22.35" hidden="false" customHeight="false" outlineLevel="0" collapsed="false">
      <c r="A5" s="2" t="n">
        <v>2</v>
      </c>
      <c r="B5" s="2" t="s">
        <v>900</v>
      </c>
      <c r="C5" s="2" t="s">
        <v>901</v>
      </c>
      <c r="D5" s="36" t="n">
        <f aca="false">'Historical Build &amp; Ratios'!B33</f>
        <v>0.0386281108686853</v>
      </c>
      <c r="E5" s="36" t="n">
        <f aca="false">'Historical Build &amp; Ratios'!B34</f>
        <v>0.0302709175242671</v>
      </c>
      <c r="F5" s="2" t="s">
        <v>902</v>
      </c>
      <c r="G5" s="2" t="str">
        <f aca="false">IF(MAX(D5,E5)&gt;0.06,"FAIL",IF(MAX(D5,E5)&gt;0.03,"CAUTION","PASS"))</f>
        <v>CAUTION</v>
      </c>
      <c r="H5" s="2" t="s">
        <v>903</v>
      </c>
    </row>
    <row r="6" customFormat="false" ht="22.35" hidden="false" customHeight="false" outlineLevel="0" collapsed="false">
      <c r="A6" s="2" t="n">
        <v>3</v>
      </c>
      <c r="B6" s="2" t="s">
        <v>904</v>
      </c>
      <c r="C6" s="2" t="s">
        <v>905</v>
      </c>
      <c r="D6" s="38" t="n">
        <f aca="false">'Historical Build &amp; Ratios'!B36/(Inputs!$C$98+Inputs!$C$97)</f>
        <v>0.996964285714286</v>
      </c>
      <c r="E6" s="39" t="n">
        <f aca="false">Inputs!$C$98+Inputs!$C$97</f>
        <v>560</v>
      </c>
      <c r="F6" s="2" t="s">
        <v>906</v>
      </c>
      <c r="G6" s="2" t="str">
        <f aca="false">IF(D6&gt;=1.5,"PASS",IF(D6&gt;=0.75,"CAUTION","FAIL"))</f>
        <v>CAUTION</v>
      </c>
      <c r="H6" s="2" t="s">
        <v>907</v>
      </c>
    </row>
    <row r="7" customFormat="false" ht="22.35" hidden="false" customHeight="false" outlineLevel="0" collapsed="false">
      <c r="A7" s="2" t="n">
        <v>4</v>
      </c>
      <c r="B7" s="2" t="s">
        <v>908</v>
      </c>
      <c r="C7" s="2" t="s">
        <v>909</v>
      </c>
      <c r="D7" s="36" t="n">
        <f aca="false">Inputs!$C$106/('Historical Build &amp; Ratios'!K7-'Historical Build &amp; Ratios'!D7)</f>
        <v>0.186915887850467</v>
      </c>
      <c r="E7" s="40" t="n">
        <f aca="false">'Historical Build &amp; Ratios'!K7-'Historical Build &amp; Ratios'!D7</f>
        <v>1.07</v>
      </c>
      <c r="F7" s="2" t="s">
        <v>910</v>
      </c>
      <c r="G7" s="2" t="str">
        <f aca="false">IF(D7&gt;0.3,"FAIL",IF(D7&gt;0.1,"CAUTION","PASS"))</f>
        <v>CAUTION</v>
      </c>
      <c r="H7" s="2" t="s">
        <v>911</v>
      </c>
    </row>
    <row r="8" customFormat="false" ht="22.35" hidden="false" customHeight="false" outlineLevel="0" collapsed="false">
      <c r="A8" s="2" t="n">
        <v>5</v>
      </c>
      <c r="B8" s="2" t="s">
        <v>912</v>
      </c>
      <c r="C8" s="2" t="s">
        <v>913</v>
      </c>
      <c r="D8" s="37" t="n">
        <f aca="false">'Peer Benchmark'!F24</f>
        <v>0</v>
      </c>
      <c r="E8" s="37" t="n">
        <f aca="false">'Peer Benchmark'!G24</f>
        <v>3</v>
      </c>
      <c r="F8" s="2" t="s">
        <v>914</v>
      </c>
      <c r="G8" s="2" t="str">
        <f aca="false">IF(D8&gt;=2,"PASS",IF(OR(D8=1,E8&gt;=2),"CAUTION","FAIL"))</f>
        <v>CAUTION</v>
      </c>
      <c r="H8" s="2" t="s">
        <v>915</v>
      </c>
    </row>
    <row r="9" customFormat="false" ht="22.35" hidden="false" customHeight="false" outlineLevel="0" collapsed="false">
      <c r="A9" s="2" t="n">
        <v>6</v>
      </c>
      <c r="B9" s="2" t="s">
        <v>916</v>
      </c>
      <c r="C9" s="2" t="s">
        <v>917</v>
      </c>
      <c r="D9" s="36" t="n">
        <f aca="false">Inputs!$C$101</f>
        <v>0.0934</v>
      </c>
      <c r="E9" s="37" t="n">
        <f aca="false">Inputs!$C$108</f>
        <v>1</v>
      </c>
      <c r="F9" s="2" t="s">
        <v>918</v>
      </c>
      <c r="G9" s="2" t="str">
        <f aca="false">IF(AND(D9&gt;=0.1,E9=0),"PASS",IF(D9&gt;=0.05,"CAUTION","FAIL"))</f>
        <v>CAUTION</v>
      </c>
      <c r="H9" s="2" t="s">
        <v>919</v>
      </c>
    </row>
    <row r="10" customFormat="false" ht="15" hidden="false" customHeight="false" outlineLevel="0" collapsed="false">
      <c r="A10" s="2" t="n">
        <v>7</v>
      </c>
      <c r="B10" s="2" t="s">
        <v>920</v>
      </c>
      <c r="C10" s="2" t="s">
        <v>921</v>
      </c>
      <c r="D10" s="37" t="n">
        <f aca="false">Inputs!$C$107</f>
        <v>8</v>
      </c>
      <c r="E10" s="41"/>
      <c r="F10" s="2" t="s">
        <v>922</v>
      </c>
      <c r="G10" s="2" t="str">
        <f aca="false">IF(D10&gt;=6,"FAIL",IF(D10&gt;=4,"CAUTION","PASS"))</f>
        <v>FAIL</v>
      </c>
      <c r="H10" s="2" t="s">
        <v>923</v>
      </c>
    </row>
    <row r="11" customFormat="false" ht="22.35" hidden="false" customHeight="false" outlineLevel="0" collapsed="false">
      <c r="A11" s="2" t="n">
        <v>8</v>
      </c>
      <c r="B11" s="2" t="s">
        <v>924</v>
      </c>
      <c r="C11" s="2" t="s">
        <v>925</v>
      </c>
      <c r="D11" s="38" t="n">
        <f aca="false">'Valuation &amp; Scenarios'!B13/'Valuation &amp; Scenarios'!C23</f>
        <v>0.587317840828942</v>
      </c>
      <c r="E11" s="38" t="n">
        <f aca="false">'Valuation &amp; Scenarios'!B14/'Valuation &amp; Scenarios'!C23</f>
        <v>0.822308894727179</v>
      </c>
      <c r="F11" s="2" t="s">
        <v>926</v>
      </c>
      <c r="G11" s="2" t="str">
        <f aca="false">IF(D11&lt;0.8,"PASS",IF(D11&lt;=1.1,"CAUTION","FAIL"))</f>
        <v>PASS</v>
      </c>
      <c r="H11" s="2" t="s">
        <v>927</v>
      </c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5"/>
      <c r="B13" s="5" t="s">
        <v>928</v>
      </c>
      <c r="C13" s="5" t="s">
        <v>929</v>
      </c>
      <c r="D13" s="5" t="n">
        <f aca="false">COUNTIF(G4:G11,"PASS")</f>
        <v>1</v>
      </c>
      <c r="E13" s="5"/>
      <c r="F13" s="5"/>
      <c r="G13" s="5"/>
      <c r="H13" s="5"/>
    </row>
    <row r="14" customFormat="false" ht="15" hidden="false" customHeight="false" outlineLevel="0" collapsed="false">
      <c r="A14" s="5"/>
      <c r="B14" s="5"/>
      <c r="C14" s="5" t="s">
        <v>930</v>
      </c>
      <c r="D14" s="5" t="n">
        <f aca="false">COUNTIF(G4:G11,"CAUTION")</f>
        <v>6</v>
      </c>
      <c r="E14" s="5"/>
      <c r="F14" s="5"/>
      <c r="G14" s="5"/>
      <c r="H14" s="5"/>
    </row>
    <row r="15" customFormat="false" ht="15" hidden="false" customHeight="false" outlineLevel="0" collapsed="false">
      <c r="A15" s="5"/>
      <c r="B15" s="5"/>
      <c r="C15" s="5" t="s">
        <v>931</v>
      </c>
      <c r="D15" s="5" t="n">
        <f aca="false">COUNTIF(G4:G11,"FAIL")</f>
        <v>1</v>
      </c>
      <c r="E15" s="5"/>
      <c r="F15" s="5"/>
      <c r="G15" s="5"/>
      <c r="H1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2026-09-29T06:16:35Z</dcterms:created>
  <dc:creator>openpyxl</dc:creator>
  <dc:description/>
  <dc:language>en-US</dc:language>
  <cp:lastModifiedBy/>
  <dcterms:modified xsi:type="dcterms:W3CDTF">2026-09-29T06:16:35Z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